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/>
    <font>
      <b val="1"/>
      <color rgb="001F2937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16" customWidth="1" min="3" max="3"/>
    <col width="26" customWidth="1" min="4" max="4"/>
    <col width="14" customWidth="1" min="5" max="5"/>
    <col width="26" customWidth="1" min="6" max="6"/>
    <col width="40" customWidth="1" min="7" max="7"/>
    <col width="6" customWidth="1" min="8" max="8"/>
    <col width="9" customWidth="1" min="9" max="9"/>
    <col width="8" customWidth="1" min="10" max="10"/>
    <col width="22" customWidth="1" min="11" max="11"/>
    <col width="45" customWidth="1" min="12" max="12"/>
    <col width="18" customWidth="1" min="13" max="13"/>
    <col width="15" customWidth="1" min="14" max="14"/>
    <col width="15" customWidth="1" min="15" max="15"/>
    <col width="11" customWidth="1" min="16" max="16"/>
    <col width="11" customWidth="1" min="17" max="17"/>
    <col width="15" customWidth="1" min="18" max="18"/>
    <col width="16" customWidth="1" min="19" max="19"/>
    <col width="15" customWidth="1" min="20" max="20"/>
    <col width="15" customWidth="1" min="21" max="21"/>
    <col width="9" customWidth="1" min="22" max="22"/>
    <col width="20" customWidth="1" min="23" max="23"/>
    <col width="30" customWidth="1" min="24" max="24"/>
    <col width="40" customWidth="1" min="25" max="25"/>
    <col width="18" customWidth="1" min="26" max="26"/>
    <col width="12" customWidth="1" min="27" max="27"/>
    <col width="10" customWidth="1" min="28" max="28"/>
    <col width="16" customWidth="1" min="29" max="29"/>
    <col width="40" customWidth="1" min="30" max="30"/>
  </cols>
  <sheetData>
    <row r="1">
      <c r="A1" s="1" t="inlineStr">
        <is>
          <t>nombre_gestoria</t>
        </is>
      </c>
      <c r="B1" s="1" t="inlineStr">
        <is>
          <t>ciudad</t>
        </is>
      </c>
      <c r="C1" s="1" t="inlineStr">
        <is>
          <t>provincia</t>
        </is>
      </c>
      <c r="D1" s="1" t="inlineStr">
        <is>
          <t>web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direccion</t>
        </is>
      </c>
      <c r="H1" s="1" t="inlineStr">
        <is>
          <t>tier</t>
        </is>
      </c>
      <c r="I1" s="1" t="inlineStr">
        <is>
          <t>calidez</t>
        </is>
      </c>
      <c r="J1" s="1" t="inlineStr">
        <is>
          <t>encaje</t>
        </is>
      </c>
      <c r="K1" s="1" t="inlineStr">
        <is>
          <t>fuente</t>
        </is>
      </c>
      <c r="L1" s="1" t="inlineStr">
        <is>
          <t>notas</t>
        </is>
      </c>
      <c r="M1" s="1" t="inlineStr">
        <is>
          <t>estado</t>
        </is>
      </c>
      <c r="N1" s="1" t="inlineStr">
        <is>
          <t>fecha_contacto</t>
        </is>
      </c>
      <c r="O1" s="1" t="inlineStr">
        <is>
          <t>canal_contacto</t>
        </is>
      </c>
      <c r="P1" s="1" t="inlineStr">
        <is>
          <t>num_toques</t>
        </is>
      </c>
      <c r="Q1" s="1" t="inlineStr">
        <is>
          <t>respuesta</t>
        </is>
      </c>
      <c r="R1" s="1" t="inlineStr">
        <is>
          <t>fecha_respuesta</t>
        </is>
      </c>
      <c r="S1" s="1" t="inlineStr">
        <is>
          <t>reunion_agendada</t>
        </is>
      </c>
      <c r="T1" s="1" t="inlineStr">
        <is>
          <t>demo_realizada</t>
        </is>
      </c>
      <c r="U1" s="1" t="inlineStr">
        <is>
          <t>piloto_aceptado</t>
        </is>
      </c>
      <c r="V1" s="1" t="inlineStr">
        <is>
          <t>rechazo</t>
        </is>
      </c>
      <c r="W1" s="1" t="inlineStr">
        <is>
          <t>motivo_rechazo</t>
        </is>
      </c>
      <c r="X1" s="1" t="inlineStr">
        <is>
          <t>ficha_feedback</t>
        </is>
      </c>
      <c r="Y1" s="1" t="inlineStr">
        <is>
          <t>proxima_accion</t>
        </is>
      </c>
      <c r="Z1" s="1" t="inlineStr">
        <is>
          <t>fecha_proxima_accion</t>
        </is>
      </c>
      <c r="AA1" s="1" t="inlineStr">
        <is>
          <t>cliente_pago</t>
        </is>
      </c>
      <c r="AB1" s="1" t="inlineStr">
        <is>
          <t>mrr_eur</t>
        </is>
      </c>
      <c r="AC1" s="3" t="inlineStr">
        <is>
          <t>dias_desde_contacto</t>
        </is>
      </c>
      <c r="AD1" s="3" t="inlineStr">
        <is>
          <t>accion_sugerida_hoy</t>
        </is>
      </c>
    </row>
    <row r="2">
      <c r="A2" t="inlineStr">
        <is>
          <t>Gestoría AVANZA</t>
        </is>
      </c>
      <c r="B2" t="inlineStr">
        <is>
          <t>Valencia</t>
        </is>
      </c>
      <c r="C2" t="inlineStr">
        <is>
          <t>Valencia</t>
        </is>
      </c>
      <c r="H2" t="inlineStr">
        <is>
          <t>A</t>
        </is>
      </c>
      <c r="I2" t="inlineStr">
        <is>
          <t>frío</t>
        </is>
      </c>
      <c r="J2" t="inlineStr">
        <is>
          <t>alto</t>
        </is>
      </c>
      <c r="K2" t="inlineStr">
        <is>
          <t>Búsqueda web 2026-07-11</t>
        </is>
      </c>
      <c r="L2" t="inlineStr">
        <is>
          <t>4.80/5 en 104 reseñas, asesoría integral fiscal/jurídica/contable/laboral para pymes y autónomos</t>
        </is>
      </c>
      <c r="M2" t="inlineStr">
        <is>
          <t>pendiente_contacto</t>
        </is>
      </c>
      <c r="Y2" t="inlineStr">
        <is>
          <t>Verificar teléfono/email en su web antes de contactar</t>
        </is>
      </c>
      <c r="AC2">
        <f>IF(N2="","",TODAY()-N2)</f>
        <v/>
      </c>
      <c r="AD2">
        <f>IF(N2="","Contactar (día 0)",IF(OR(Q2="sí",M2="rechazado",M2="cliente_pago",M2="sin_respuesta"),"",IF(AND(P2&lt;=1,AC2&gt;=3),"Seguimiento 1 (mismo canal)",IF(AND(P2&lt;=2,AC2&gt;=7),"Seguimiento 2 (canal distinto)",IF(AND(P2&lt;=3,AC2&gt;=12),"Seguimiento 3 (último, ofrece cerrar la puerta)",IF(OR(P2&gt;=4,AC2&gt;=15),"Cerrar: marcar sin-respuesta",""))))))</f>
        <v/>
      </c>
    </row>
    <row r="3">
      <c r="A3" t="inlineStr">
        <is>
          <t>Gestoría Pastor</t>
        </is>
      </c>
      <c r="B3" t="inlineStr">
        <is>
          <t>Valencia</t>
        </is>
      </c>
      <c r="C3" t="inlineStr">
        <is>
          <t>Valencia</t>
        </is>
      </c>
      <c r="H3" t="inlineStr">
        <is>
          <t>B</t>
        </is>
      </c>
      <c r="I3" t="inlineStr">
        <is>
          <t>frío</t>
        </is>
      </c>
      <c r="J3" t="inlineStr">
        <is>
          <t>medio</t>
        </is>
      </c>
      <c r="K3" t="inlineStr">
        <is>
          <t>Búsqueda web 2026-07-11</t>
        </is>
      </c>
      <c r="L3" t="inlineStr">
        <is>
          <t>Más de 95 años de trayectoria, atiende pymes, medianas y grandes empresas — puede ser más institucional de lo ideal para el piloto</t>
        </is>
      </c>
      <c r="M3" t="inlineStr">
        <is>
          <t>pendiente_contacto</t>
        </is>
      </c>
      <c r="Y3" t="inlineStr">
        <is>
          <t>Verificar teléfono/email en su web antes de contactar</t>
        </is>
      </c>
      <c r="AC3">
        <f>IF(N3="","",TODAY()-N3)</f>
        <v/>
      </c>
      <c r="AD3">
        <f>IF(N3="","Contactar (día 0)",IF(OR(Q3="sí",M3="rechazado",M3="cliente_pago",M3="sin_respuesta"),"",IF(AND(P3&lt;=1,AC3&gt;=3),"Seguimiento 1 (mismo canal)",IF(AND(P3&lt;=2,AC3&gt;=7),"Seguimiento 2 (canal distinto)",IF(AND(P3&lt;=3,AC3&gt;=12),"Seguimiento 3 (último, ofrece cerrar la puerta)",IF(OR(P3&gt;=4,AC3&gt;=15),"Cerrar: marcar sin-respuesta",""))))))</f>
        <v/>
      </c>
    </row>
    <row r="4">
      <c r="A4" t="inlineStr">
        <is>
          <t>Asesoría Autónomos Valencia</t>
        </is>
      </c>
      <c r="B4" t="inlineStr">
        <is>
          <t>Valencia</t>
        </is>
      </c>
      <c r="C4" t="inlineStr">
        <is>
          <t>Valencia</t>
        </is>
      </c>
      <c r="D4" t="inlineStr">
        <is>
          <t>asesoriaautonomosvalencia.com</t>
        </is>
      </c>
      <c r="H4" t="inlineStr">
        <is>
          <t>A</t>
        </is>
      </c>
      <c r="I4" t="inlineStr">
        <is>
          <t>frío</t>
        </is>
      </c>
      <c r="J4" t="inlineStr">
        <is>
          <t>alto</t>
        </is>
      </c>
      <c r="K4" t="inlineStr">
        <is>
          <t>Búsqueda web 2026-07-11</t>
        </is>
      </c>
      <c r="L4" t="inlineStr">
        <is>
          <t>Más de 20 años especializados en autónomos, servicio presencial y online</t>
        </is>
      </c>
      <c r="M4" t="inlineStr">
        <is>
          <t>pendiente_contacto</t>
        </is>
      </c>
      <c r="Y4" t="inlineStr">
        <is>
          <t>Verificar email en su web antes de contactar</t>
        </is>
      </c>
      <c r="AC4">
        <f>IF(N4="","",TODAY()-N4)</f>
        <v/>
      </c>
      <c r="AD4">
        <f>IF(N4="","Contactar (día 0)",IF(OR(Q4="sí",M4="rechazado",M4="cliente_pago",M4="sin_respuesta"),"",IF(AND(P4&lt;=1,AC4&gt;=3),"Seguimiento 1 (mismo canal)",IF(AND(P4&lt;=2,AC4&gt;=7),"Seguimiento 2 (canal distinto)",IF(AND(P4&lt;=3,AC4&gt;=12),"Seguimiento 3 (último, ofrece cerrar la puerta)",IF(OR(P4&gt;=4,AC4&gt;=15),"Cerrar: marcar sin-respuesta",""))))))</f>
        <v/>
      </c>
    </row>
    <row r="5">
      <c r="A5" t="inlineStr">
        <is>
          <t>Gestoría Autónomos Barcelona</t>
        </is>
      </c>
      <c r="B5" t="inlineStr">
        <is>
          <t>L'Hospitalet de Llobregat</t>
        </is>
      </c>
      <c r="C5" t="inlineStr">
        <is>
          <t>Barcelona</t>
        </is>
      </c>
      <c r="D5" t="inlineStr">
        <is>
          <t>gestoriaautonomosbarcelona.com</t>
        </is>
      </c>
      <c r="H5" t="inlineStr">
        <is>
          <t>A</t>
        </is>
      </c>
      <c r="I5" t="inlineStr">
        <is>
          <t>frío</t>
        </is>
      </c>
      <c r="J5" t="inlineStr">
        <is>
          <t>alto</t>
        </is>
      </c>
      <c r="K5" t="inlineStr">
        <is>
          <t>Búsqueda web 2026-07-11</t>
        </is>
      </c>
      <c r="L5" t="inlineStr">
        <is>
          <t>13 años, especializada en autónomos, cuota 60€+IVA/mes, oficina a 5 min del centro de Barcelona</t>
        </is>
      </c>
      <c r="M5" t="inlineStr">
        <is>
          <t>pendiente_contacto</t>
        </is>
      </c>
      <c r="Y5" t="inlineStr">
        <is>
          <t>Verificar email en su web antes de contactar</t>
        </is>
      </c>
      <c r="AC5">
        <f>IF(N5="","",TODAY()-N5)</f>
        <v/>
      </c>
      <c r="AD5">
        <f>IF(N5="","Contactar (día 0)",IF(OR(Q5="sí",M5="rechazado",M5="cliente_pago",M5="sin_respuesta"),"",IF(AND(P5&lt;=1,AC5&gt;=3),"Seguimiento 1 (mismo canal)",IF(AND(P5&lt;=2,AC5&gt;=7),"Seguimiento 2 (canal distinto)",IF(AND(P5&lt;=3,AC5&gt;=12),"Seguimiento 3 (último, ofrece cerrar la puerta)",IF(OR(P5&gt;=4,AC5&gt;=15),"Cerrar: marcar sin-respuesta",""))))))</f>
        <v/>
      </c>
    </row>
    <row r="6">
      <c r="A6" t="inlineStr">
        <is>
          <t>Gestoría Barcelona</t>
        </is>
      </c>
      <c r="B6" t="inlineStr">
        <is>
          <t>Barcelona</t>
        </is>
      </c>
      <c r="C6" t="inlineStr">
        <is>
          <t>Barcelona</t>
        </is>
      </c>
      <c r="D6" t="inlineStr">
        <is>
          <t>gestoriabarcelona.cat</t>
        </is>
      </c>
      <c r="H6" t="inlineStr">
        <is>
          <t>B</t>
        </is>
      </c>
      <c r="I6" t="inlineStr">
        <is>
          <t>frío</t>
        </is>
      </c>
      <c r="J6" t="inlineStr">
        <is>
          <t>medio</t>
        </is>
      </c>
      <c r="K6" t="inlineStr">
        <is>
          <t>Búsqueda web 2026-07-11</t>
        </is>
      </c>
      <c r="L6" t="inlineStr">
        <is>
          <t>Asesoría integral fiscal/laboral/financiera/contable/jurídica</t>
        </is>
      </c>
      <c r="M6" t="inlineStr">
        <is>
          <t>pendiente_contacto</t>
        </is>
      </c>
      <c r="Y6" t="inlineStr">
        <is>
          <t>Verificar email en su web antes de contactar</t>
        </is>
      </c>
      <c r="AC6">
        <f>IF(N6="","",TODAY()-N6)</f>
        <v/>
      </c>
      <c r="AD6">
        <f>IF(N6="","Contactar (día 0)",IF(OR(Q6="sí",M6="rechazado",M6="cliente_pago",M6="sin_respuesta"),"",IF(AND(P6&lt;=1,AC6&gt;=3),"Seguimiento 1 (mismo canal)",IF(AND(P6&lt;=2,AC6&gt;=7),"Seguimiento 2 (canal distinto)",IF(AND(P6&lt;=3,AC6&gt;=12),"Seguimiento 3 (último, ofrece cerrar la puerta)",IF(OR(P6&gt;=4,AC6&gt;=15),"Cerrar: marcar sin-respuesta",""))))))</f>
        <v/>
      </c>
    </row>
    <row r="7">
      <c r="A7" t="inlineStr">
        <is>
          <t>DAEM</t>
        </is>
      </c>
      <c r="B7" t="inlineStr">
        <is>
          <t>Barcelona / Sabadell</t>
        </is>
      </c>
      <c r="C7" t="inlineStr">
        <is>
          <t>Barcelona</t>
        </is>
      </c>
      <c r="H7" t="inlineStr">
        <is>
          <t>A</t>
        </is>
      </c>
      <c r="I7" t="inlineStr">
        <is>
          <t>frío</t>
        </is>
      </c>
      <c r="J7" t="inlineStr">
        <is>
          <t>alto</t>
        </is>
      </c>
      <c r="K7" t="inlineStr">
        <is>
          <t>Búsqueda web 2026-07-11</t>
        </is>
      </c>
      <c r="L7" t="inlineStr">
        <is>
          <t>Oficinas en Barcelona y Sabadell, acompañamiento cercano a empresas y autónomos</t>
        </is>
      </c>
      <c r="M7" t="inlineStr">
        <is>
          <t>pendiente_contacto</t>
        </is>
      </c>
      <c r="Y7" t="inlineStr">
        <is>
          <t>Verificar teléfono/email en su web antes de contactar</t>
        </is>
      </c>
      <c r="AC7">
        <f>IF(N7="","",TODAY()-N7)</f>
        <v/>
      </c>
      <c r="AD7">
        <f>IF(N7="","Contactar (día 0)",IF(OR(Q7="sí",M7="rechazado",M7="cliente_pago",M7="sin_respuesta"),"",IF(AND(P7&lt;=1,AC7&gt;=3),"Seguimiento 1 (mismo canal)",IF(AND(P7&lt;=2,AC7&gt;=7),"Seguimiento 2 (canal distinto)",IF(AND(P7&lt;=3,AC7&gt;=12),"Seguimiento 3 (último, ofrece cerrar la puerta)",IF(OR(P7&gt;=4,AC7&gt;=15),"Cerrar: marcar sin-respuesta",""))))))</f>
        <v/>
      </c>
    </row>
    <row r="8">
      <c r="A8" t="inlineStr">
        <is>
          <t>MLT Asesores</t>
        </is>
      </c>
      <c r="B8" t="inlineStr">
        <is>
          <t>Barcelona</t>
        </is>
      </c>
      <c r="C8" t="inlineStr">
        <is>
          <t>Barcelona</t>
        </is>
      </c>
      <c r="D8" t="inlineStr">
        <is>
          <t>mltasesores.com</t>
        </is>
      </c>
      <c r="H8" t="inlineStr">
        <is>
          <t>A</t>
        </is>
      </c>
      <c r="I8" t="inlineStr">
        <is>
          <t>frío</t>
        </is>
      </c>
      <c r="J8" t="inlineStr">
        <is>
          <t>alto</t>
        </is>
      </c>
      <c r="K8" t="inlineStr">
        <is>
          <t>Búsqueda web 2026-07-11</t>
        </is>
      </c>
      <c r="L8" t="inlineStr">
        <is>
          <t>Cuota mensual de gestión fiscal/contable/laboral centrada en autónomos</t>
        </is>
      </c>
      <c r="M8" t="inlineStr">
        <is>
          <t>pendiente_contacto</t>
        </is>
      </c>
      <c r="Y8" t="inlineStr">
        <is>
          <t>Verificar email en su web antes de contactar</t>
        </is>
      </c>
      <c r="AC8">
        <f>IF(N8="","",TODAY()-N8)</f>
        <v/>
      </c>
      <c r="AD8">
        <f>IF(N8="","Contactar (día 0)",IF(OR(Q8="sí",M8="rechazado",M8="cliente_pago",M8="sin_respuesta"),"",IF(AND(P8&lt;=1,AC8&gt;=3),"Seguimiento 1 (mismo canal)",IF(AND(P8&lt;=2,AC8&gt;=7),"Seguimiento 2 (canal distinto)",IF(AND(P8&lt;=3,AC8&gt;=12),"Seguimiento 3 (último, ofrece cerrar la puerta)",IF(OR(P8&gt;=4,AC8&gt;=15),"Cerrar: marcar sin-respuesta",""))))))</f>
        <v/>
      </c>
    </row>
    <row r="9">
      <c r="A9" t="inlineStr">
        <is>
          <t>Assessoria Despí S.L.</t>
        </is>
      </c>
      <c r="B9" t="inlineStr">
        <is>
          <t>Barcelona</t>
        </is>
      </c>
      <c r="C9" t="inlineStr">
        <is>
          <t>Barcelona</t>
        </is>
      </c>
      <c r="H9" t="inlineStr">
        <is>
          <t>A</t>
        </is>
      </c>
      <c r="I9" t="inlineStr">
        <is>
          <t>frío</t>
        </is>
      </c>
      <c r="J9" t="inlineStr">
        <is>
          <t>alto</t>
        </is>
      </c>
      <c r="K9" t="inlineStr">
        <is>
          <t>Búsqueda web 2026-07-11</t>
        </is>
      </c>
      <c r="L9" t="inlineStr">
        <is>
          <t>Desde 1991, especializada en autónomos y pequeñas empresas</t>
        </is>
      </c>
      <c r="M9" t="inlineStr">
        <is>
          <t>pendiente_contacto</t>
        </is>
      </c>
      <c r="Y9" t="inlineStr">
        <is>
          <t>Verificar teléfono/email en su web antes de contactar</t>
        </is>
      </c>
      <c r="AC9">
        <f>IF(N9="","",TODAY()-N9)</f>
        <v/>
      </c>
      <c r="AD9">
        <f>IF(N9="","Contactar (día 0)",IF(OR(Q9="sí",M9="rechazado",M9="cliente_pago",M9="sin_respuesta"),"",IF(AND(P9&lt;=1,AC9&gt;=3),"Seguimiento 1 (mismo canal)",IF(AND(P9&lt;=2,AC9&gt;=7),"Seguimiento 2 (canal distinto)",IF(AND(P9&lt;=3,AC9&gt;=12),"Seguimiento 3 (último, ofrece cerrar la puerta)",IF(OR(P9&gt;=4,AC9&gt;=15),"Cerrar: marcar sin-respuesta",""))))))</f>
        <v/>
      </c>
    </row>
    <row r="10">
      <c r="A10" t="inlineStr">
        <is>
          <t>La Gestoría Online</t>
        </is>
      </c>
      <c r="B10" t="inlineStr">
        <is>
          <t>Sevilla</t>
        </is>
      </c>
      <c r="C10" t="inlineStr">
        <is>
          <t>Sevilla</t>
        </is>
      </c>
      <c r="E10" t="inlineStr">
        <is>
          <t>621271992</t>
        </is>
      </c>
      <c r="H10" t="inlineStr">
        <is>
          <t>B</t>
        </is>
      </c>
      <c r="I10" t="inlineStr">
        <is>
          <t>frío</t>
        </is>
      </c>
      <c r="J10" t="inlineStr">
        <is>
          <t>medio</t>
        </is>
      </c>
      <c r="K10" t="inlineStr">
        <is>
          <t>Búsqueda web 2026-07-11</t>
        </is>
      </c>
      <c r="L10" t="inlineStr">
        <is>
          <t>Modelo principalmente online</t>
        </is>
      </c>
      <c r="M10" t="inlineStr">
        <is>
          <t>pendiente_contacto</t>
        </is>
      </c>
      <c r="Y10" t="inlineStr">
        <is>
          <t>Llamar o WhatsApp al teléfono verificado</t>
        </is>
      </c>
      <c r="AC10">
        <f>IF(N10="","",TODAY()-N10)</f>
        <v/>
      </c>
      <c r="AD10">
        <f>IF(N10="","Contactar (día 0)",IF(OR(Q10="sí",M10="rechazado",M10="cliente_pago",M10="sin_respuesta"),"",IF(AND(P10&lt;=1,AC10&gt;=3),"Seguimiento 1 (mismo canal)",IF(AND(P10&lt;=2,AC10&gt;=7),"Seguimiento 2 (canal distinto)",IF(AND(P10&lt;=3,AC10&gt;=12),"Seguimiento 3 (último, ofrece cerrar la puerta)",IF(OR(P10&gt;=4,AC10&gt;=15),"Cerrar: marcar sin-respuesta",""))))))</f>
        <v/>
      </c>
    </row>
    <row r="11">
      <c r="A11" t="inlineStr">
        <is>
          <t>Activa Consultores</t>
        </is>
      </c>
      <c r="B11" t="inlineStr">
        <is>
          <t>Sevilla</t>
        </is>
      </c>
      <c r="C11" t="inlineStr">
        <is>
          <t>Sevilla</t>
        </is>
      </c>
      <c r="G11" t="inlineStr">
        <is>
          <t>C/ Asunción, 80, 11ºB, 41011 Sevilla</t>
        </is>
      </c>
      <c r="H11" t="inlineStr">
        <is>
          <t>B</t>
        </is>
      </c>
      <c r="I11" t="inlineStr">
        <is>
          <t>frío</t>
        </is>
      </c>
      <c r="J11" t="inlineStr">
        <is>
          <t>medio</t>
        </is>
      </c>
      <c r="K11" t="inlineStr">
        <is>
          <t>Búsqueda web 2026-07-11</t>
        </is>
      </c>
      <c r="M11" t="inlineStr">
        <is>
          <t>pendiente_contacto</t>
        </is>
      </c>
      <c r="Y11" t="inlineStr">
        <is>
          <t>Verificar teléfono/email en su web antes de contactar</t>
        </is>
      </c>
      <c r="AC11">
        <f>IF(N11="","",TODAY()-N11)</f>
        <v/>
      </c>
      <c r="AD11">
        <f>IF(N11="","Contactar (día 0)",IF(OR(Q11="sí",M11="rechazado",M11="cliente_pago",M11="sin_respuesta"),"",IF(AND(P11&lt;=1,AC11&gt;=3),"Seguimiento 1 (mismo canal)",IF(AND(P11&lt;=2,AC11&gt;=7),"Seguimiento 2 (canal distinto)",IF(AND(P11&lt;=3,AC11&gt;=12),"Seguimiento 3 (último, ofrece cerrar la puerta)",IF(OR(P11&gt;=4,AC11&gt;=15),"Cerrar: marcar sin-respuesta",""))))))</f>
        <v/>
      </c>
    </row>
    <row r="12">
      <c r="A12" t="inlineStr">
        <is>
          <t>Zamorano Cruz Asesores</t>
        </is>
      </c>
      <c r="B12" t="inlineStr">
        <is>
          <t>Sevilla</t>
        </is>
      </c>
      <c r="C12" t="inlineStr">
        <is>
          <t>Sevilla</t>
        </is>
      </c>
      <c r="G12" t="inlineStr">
        <is>
          <t>Av. de la República Argentina, 27 B, 2º I, 41011 Sevilla</t>
        </is>
      </c>
      <c r="H12" t="inlineStr">
        <is>
          <t>B</t>
        </is>
      </c>
      <c r="I12" t="inlineStr">
        <is>
          <t>frío</t>
        </is>
      </c>
      <c r="J12" t="inlineStr">
        <is>
          <t>medio</t>
        </is>
      </c>
      <c r="K12" t="inlineStr">
        <is>
          <t>Búsqueda web 2026-07-11</t>
        </is>
      </c>
      <c r="M12" t="inlineStr">
        <is>
          <t>pendiente_contacto</t>
        </is>
      </c>
      <c r="Y12" t="inlineStr">
        <is>
          <t>Verificar teléfono/email en su web antes de contactar</t>
        </is>
      </c>
      <c r="AC12">
        <f>IF(N12="","",TODAY()-N12)</f>
        <v/>
      </c>
      <c r="AD12">
        <f>IF(N12="","Contactar (día 0)",IF(OR(Q12="sí",M12="rechazado",M12="cliente_pago",M12="sin_respuesta"),"",IF(AND(P12&lt;=1,AC12&gt;=3),"Seguimiento 1 (mismo canal)",IF(AND(P12&lt;=2,AC12&gt;=7),"Seguimiento 2 (canal distinto)",IF(AND(P12&lt;=3,AC12&gt;=12),"Seguimiento 3 (último, ofrece cerrar la puerta)",IF(OR(P12&gt;=4,AC12&gt;=15),"Cerrar: marcar sin-respuesta",""))))))</f>
        <v/>
      </c>
    </row>
    <row r="13">
      <c r="A13" t="inlineStr">
        <is>
          <t>Fisconlab</t>
        </is>
      </c>
      <c r="B13" t="inlineStr">
        <is>
          <t>Sevilla</t>
        </is>
      </c>
      <c r="C13" t="inlineStr">
        <is>
          <t>Sevilla</t>
        </is>
      </c>
      <c r="G13" t="inlineStr">
        <is>
          <t>C. Arquitectura, 3, Torre 7, Planta 10, 41015 Sevilla</t>
        </is>
      </c>
      <c r="H13" t="inlineStr">
        <is>
          <t>B</t>
        </is>
      </c>
      <c r="I13" t="inlineStr">
        <is>
          <t>frío</t>
        </is>
      </c>
      <c r="J13" t="inlineStr">
        <is>
          <t>medio</t>
        </is>
      </c>
      <c r="K13" t="inlineStr">
        <is>
          <t>Búsqueda web 2026-07-11</t>
        </is>
      </c>
      <c r="M13" t="inlineStr">
        <is>
          <t>pendiente_contacto</t>
        </is>
      </c>
      <c r="Y13" t="inlineStr">
        <is>
          <t>Verificar teléfono/email en su web antes de contactar</t>
        </is>
      </c>
      <c r="AC13">
        <f>IF(N13="","",TODAY()-N13)</f>
        <v/>
      </c>
      <c r="AD13">
        <f>IF(N13="","Contactar (día 0)",IF(OR(Q13="sí",M13="rechazado",M13="cliente_pago",M13="sin_respuesta"),"",IF(AND(P13&lt;=1,AC13&gt;=3),"Seguimiento 1 (mismo canal)",IF(AND(P13&lt;=2,AC13&gt;=7),"Seguimiento 2 (canal distinto)",IF(AND(P13&lt;=3,AC13&gt;=12),"Seguimiento 3 (último, ofrece cerrar la puerta)",IF(OR(P13&gt;=4,AC13&gt;=15),"Cerrar: marcar sin-respuesta",""))))))</f>
        <v/>
      </c>
    </row>
    <row r="14">
      <c r="A14" t="inlineStr">
        <is>
          <t>Sevitia</t>
        </is>
      </c>
      <c r="B14" t="inlineStr">
        <is>
          <t>Sevilla</t>
        </is>
      </c>
      <c r="C14" t="inlineStr">
        <is>
          <t>Sevilla</t>
        </is>
      </c>
      <c r="D14" t="inlineStr">
        <is>
          <t>sevitia.com</t>
        </is>
      </c>
      <c r="E14" t="inlineStr">
        <is>
          <t>644980526</t>
        </is>
      </c>
      <c r="F14" t="inlineStr">
        <is>
          <t>info@sevitia.com</t>
        </is>
      </c>
      <c r="H14" t="inlineStr">
        <is>
          <t>A</t>
        </is>
      </c>
      <c r="I14" t="inlineStr">
        <is>
          <t>frío</t>
        </is>
      </c>
      <c r="J14" t="inlineStr">
        <is>
          <t>alto</t>
        </is>
      </c>
      <c r="K14" t="inlineStr">
        <is>
          <t>Búsqueda web 2026-07-11</t>
        </is>
      </c>
      <c r="L14" t="inlineStr">
        <is>
          <t>Gestoría para autónomos y emprendedores</t>
        </is>
      </c>
      <c r="M14" t="inlineStr">
        <is>
          <t>pendiente_contacto</t>
        </is>
      </c>
      <c r="Y14" t="inlineStr">
        <is>
          <t>Contactar por email o WhatsApp</t>
        </is>
      </c>
      <c r="AC14">
        <f>IF(N14="","",TODAY()-N14)</f>
        <v/>
      </c>
      <c r="AD14">
        <f>IF(N14="","Contactar (día 0)",IF(OR(Q14="sí",M14="rechazado",M14="cliente_pago",M14="sin_respuesta"),"",IF(AND(P14&lt;=1,AC14&gt;=3),"Seguimiento 1 (mismo canal)",IF(AND(P14&lt;=2,AC14&gt;=7),"Seguimiento 2 (canal distinto)",IF(AND(P14&lt;=3,AC14&gt;=12),"Seguimiento 3 (último, ofrece cerrar la puerta)",IF(OR(P14&gt;=4,AC14&gt;=15),"Cerrar: marcar sin-respuesta",""))))))</f>
        <v/>
      </c>
    </row>
    <row r="15">
      <c r="A15" t="inlineStr">
        <is>
          <t>GesDogma</t>
        </is>
      </c>
      <c r="B15" t="inlineStr">
        <is>
          <t>Sevilla</t>
        </is>
      </c>
      <c r="C15" t="inlineStr">
        <is>
          <t>Sevilla</t>
        </is>
      </c>
      <c r="D15" t="inlineStr">
        <is>
          <t>gesdogma.com</t>
        </is>
      </c>
      <c r="E15" t="inlineStr">
        <is>
          <t>659821233</t>
        </is>
      </c>
      <c r="H15" t="inlineStr">
        <is>
          <t>A</t>
        </is>
      </c>
      <c r="I15" t="inlineStr">
        <is>
          <t>frío</t>
        </is>
      </c>
      <c r="J15" t="inlineStr">
        <is>
          <t>alto</t>
        </is>
      </c>
      <c r="K15" t="inlineStr">
        <is>
          <t>Búsqueda web 2026-07-11</t>
        </is>
      </c>
      <c r="L15" t="inlineStr">
        <is>
          <t>Asesoría para autónomos y empresas</t>
        </is>
      </c>
      <c r="M15" t="inlineStr">
        <is>
          <t>pendiente_contacto</t>
        </is>
      </c>
      <c r="Y15" t="inlineStr">
        <is>
          <t>Llamar o WhatsApp al teléfono verificado</t>
        </is>
      </c>
      <c r="AC15">
        <f>IF(N15="","",TODAY()-N15)</f>
        <v/>
      </c>
      <c r="AD15">
        <f>IF(N15="","Contactar (día 0)",IF(OR(Q15="sí",M15="rechazado",M15="cliente_pago",M15="sin_respuesta"),"",IF(AND(P15&lt;=1,AC15&gt;=3),"Seguimiento 1 (mismo canal)",IF(AND(P15&lt;=2,AC15&gt;=7),"Seguimiento 2 (canal distinto)",IF(AND(P15&lt;=3,AC15&gt;=12),"Seguimiento 3 (último, ofrece cerrar la puerta)",IF(OR(P15&gt;=4,AC15&gt;=15),"Cerrar: marcar sin-respuesta",""))))))</f>
        <v/>
      </c>
    </row>
    <row r="16">
      <c r="A16" t="inlineStr">
        <is>
          <t>GVV Asesores y Consultores</t>
        </is>
      </c>
      <c r="B16" t="inlineStr">
        <is>
          <t>Sevilla</t>
        </is>
      </c>
      <c r="C16" t="inlineStr">
        <is>
          <t>Sevilla</t>
        </is>
      </c>
      <c r="D16" t="inlineStr">
        <is>
          <t>consulgvv.es</t>
        </is>
      </c>
      <c r="E16" t="inlineStr">
        <is>
          <t>954238171</t>
        </is>
      </c>
      <c r="H16" t="inlineStr">
        <is>
          <t>B</t>
        </is>
      </c>
      <c r="I16" t="inlineStr">
        <is>
          <t>frío</t>
        </is>
      </c>
      <c r="J16" t="inlineStr">
        <is>
          <t>medio</t>
        </is>
      </c>
      <c r="K16" t="inlineStr">
        <is>
          <t>Búsqueda web 2026-07-11</t>
        </is>
      </c>
      <c r="M16" t="inlineStr">
        <is>
          <t>pendiente_contacto</t>
        </is>
      </c>
      <c r="Y16" t="inlineStr">
        <is>
          <t>Llamar al teléfono verificado</t>
        </is>
      </c>
      <c r="AC16">
        <f>IF(N16="","",TODAY()-N16)</f>
        <v/>
      </c>
      <c r="AD16">
        <f>IF(N16="","Contactar (día 0)",IF(OR(Q16="sí",M16="rechazado",M16="cliente_pago",M16="sin_respuesta"),"",IF(AND(P16&lt;=1,AC16&gt;=3),"Seguimiento 1 (mismo canal)",IF(AND(P16&lt;=2,AC16&gt;=7),"Seguimiento 2 (canal distinto)",IF(AND(P16&lt;=3,AC16&gt;=12),"Seguimiento 3 (último, ofrece cerrar la puerta)",IF(OR(P16&gt;=4,AC16&gt;=15),"Cerrar: marcar sin-respuesta",""))))))</f>
        <v/>
      </c>
    </row>
    <row r="17">
      <c r="A17" t="inlineStr">
        <is>
          <t>Gestoría Miguel Mayal Sevilla Este</t>
        </is>
      </c>
      <c r="B17" t="inlineStr">
        <is>
          <t>Sevilla</t>
        </is>
      </c>
      <c r="C17" t="inlineStr">
        <is>
          <t>Sevilla</t>
        </is>
      </c>
      <c r="E17" t="inlineStr">
        <is>
          <t>954675869</t>
        </is>
      </c>
      <c r="H17" t="inlineStr">
        <is>
          <t>B</t>
        </is>
      </c>
      <c r="I17" t="inlineStr">
        <is>
          <t>frío</t>
        </is>
      </c>
      <c r="J17" t="inlineStr">
        <is>
          <t>medio</t>
        </is>
      </c>
      <c r="K17" t="inlineStr">
        <is>
          <t>Búsqueda web 2026-07-11</t>
        </is>
      </c>
      <c r="M17" t="inlineStr">
        <is>
          <t>pendiente_contacto</t>
        </is>
      </c>
      <c r="Y17" t="inlineStr">
        <is>
          <t>Llamar al teléfono verificado</t>
        </is>
      </c>
      <c r="AC17">
        <f>IF(N17="","",TODAY()-N17)</f>
        <v/>
      </c>
      <c r="AD17">
        <f>IF(N17="","Contactar (día 0)",IF(OR(Q17="sí",M17="rechazado",M17="cliente_pago",M17="sin_respuesta"),"",IF(AND(P17&lt;=1,AC17&gt;=3),"Seguimiento 1 (mismo canal)",IF(AND(P17&lt;=2,AC17&gt;=7),"Seguimiento 2 (canal distinto)",IF(AND(P17&lt;=3,AC17&gt;=12),"Seguimiento 3 (último, ofrece cerrar la puerta)",IF(OR(P17&gt;=4,AC17&gt;=15),"Cerrar: marcar sin-respuesta",""))))))</f>
        <v/>
      </c>
    </row>
    <row r="18">
      <c r="A18" t="inlineStr">
        <is>
          <t>Centro de Gestión</t>
        </is>
      </c>
      <c r="B18" t="inlineStr">
        <is>
          <t>Zaragoza</t>
        </is>
      </c>
      <c r="C18" t="inlineStr">
        <is>
          <t>Zaragoza</t>
        </is>
      </c>
      <c r="D18" t="inlineStr">
        <is>
          <t>centrodegestion.com</t>
        </is>
      </c>
      <c r="E18" t="inlineStr">
        <is>
          <t>876008400</t>
        </is>
      </c>
      <c r="F18" t="inlineStr">
        <is>
          <t>info@centrodegestion.com</t>
        </is>
      </c>
      <c r="G18" t="inlineStr">
        <is>
          <t>Calle Cinco de Marzo 14, 2º B, 50004 Zaragoza</t>
        </is>
      </c>
      <c r="H18" t="inlineStr">
        <is>
          <t>A</t>
        </is>
      </c>
      <c r="I18" t="inlineStr">
        <is>
          <t>frío</t>
        </is>
      </c>
      <c r="J18" t="inlineStr">
        <is>
          <t>alto</t>
        </is>
      </c>
      <c r="K18" t="inlineStr">
        <is>
          <t>Búsqueda web 2026-07-11</t>
        </is>
      </c>
      <c r="M18" t="inlineStr">
        <is>
          <t>pendiente_contacto</t>
        </is>
      </c>
      <c r="Y18" t="inlineStr">
        <is>
          <t>Contactar por email o teléfono</t>
        </is>
      </c>
      <c r="AC18">
        <f>IF(N18="","",TODAY()-N18)</f>
        <v/>
      </c>
      <c r="AD18">
        <f>IF(N18="","Contactar (día 0)",IF(OR(Q18="sí",M18="rechazado",M18="cliente_pago",M18="sin_respuesta"),"",IF(AND(P18&lt;=1,AC18&gt;=3),"Seguimiento 1 (mismo canal)",IF(AND(P18&lt;=2,AC18&gt;=7),"Seguimiento 2 (canal distinto)",IF(AND(P18&lt;=3,AC18&gt;=12),"Seguimiento 3 (último, ofrece cerrar la puerta)",IF(OR(P18&gt;=4,AC18&gt;=15),"Cerrar: marcar sin-respuesta",""))))))</f>
        <v/>
      </c>
    </row>
    <row r="19">
      <c r="A19" t="inlineStr">
        <is>
          <t>Gestoría Independencia</t>
        </is>
      </c>
      <c r="B19" t="inlineStr">
        <is>
          <t>Zaragoza</t>
        </is>
      </c>
      <c r="C19" t="inlineStr">
        <is>
          <t>Zaragoza</t>
        </is>
      </c>
      <c r="D19" t="inlineStr">
        <is>
          <t>gestoriaindependencia27.es</t>
        </is>
      </c>
      <c r="E19" t="inlineStr">
        <is>
          <t>976112689</t>
        </is>
      </c>
      <c r="H19" t="inlineStr">
        <is>
          <t>A</t>
        </is>
      </c>
      <c r="I19" t="inlineStr">
        <is>
          <t>frío</t>
        </is>
      </c>
      <c r="J19" t="inlineStr">
        <is>
          <t>alto</t>
        </is>
      </c>
      <c r="K19" t="inlineStr">
        <is>
          <t>Búsqueda web 2026-07-11</t>
        </is>
      </c>
      <c r="M19" t="inlineStr">
        <is>
          <t>pendiente_contacto</t>
        </is>
      </c>
      <c r="Y19" t="inlineStr">
        <is>
          <t>Llamar al teléfono verificado</t>
        </is>
      </c>
      <c r="AC19">
        <f>IF(N19="","",TODAY()-N19)</f>
        <v/>
      </c>
      <c r="AD19">
        <f>IF(N19="","Contactar (día 0)",IF(OR(Q19="sí",M19="rechazado",M19="cliente_pago",M19="sin_respuesta"),"",IF(AND(P19&lt;=1,AC19&gt;=3),"Seguimiento 1 (mismo canal)",IF(AND(P19&lt;=2,AC19&gt;=7),"Seguimiento 2 (canal distinto)",IF(AND(P19&lt;=3,AC19&gt;=12),"Seguimiento 3 (último, ofrece cerrar la puerta)",IF(OR(P19&gt;=4,AC19&gt;=15),"Cerrar: marcar sin-respuesta",""))))))</f>
        <v/>
      </c>
    </row>
    <row r="20">
      <c r="A20" t="inlineStr">
        <is>
          <t>Aragonia Asesores Asociados</t>
        </is>
      </c>
      <c r="B20" t="inlineStr">
        <is>
          <t>Zaragoza</t>
        </is>
      </c>
      <c r="C20" t="inlineStr">
        <is>
          <t>Zaragoza</t>
        </is>
      </c>
      <c r="D20" t="inlineStr">
        <is>
          <t>aragonia-asesores.es</t>
        </is>
      </c>
      <c r="E20" t="inlineStr">
        <is>
          <t>976220145</t>
        </is>
      </c>
      <c r="F20" t="inlineStr">
        <is>
          <t>aragonia@economistas.org</t>
        </is>
      </c>
      <c r="G20" t="inlineStr">
        <is>
          <t>Gran Vía 30, Local, Zaragoza</t>
        </is>
      </c>
      <c r="H20" t="inlineStr">
        <is>
          <t>B</t>
        </is>
      </c>
      <c r="I20" t="inlineStr">
        <is>
          <t>frío</t>
        </is>
      </c>
      <c r="J20" t="inlineStr">
        <is>
          <t>medio</t>
        </is>
      </c>
      <c r="K20" t="inlineStr">
        <is>
          <t>Búsqueda web 2026-07-11</t>
        </is>
      </c>
      <c r="L20" t="inlineStr">
        <is>
          <t>Vinculada a economistas colegiados</t>
        </is>
      </c>
      <c r="M20" t="inlineStr">
        <is>
          <t>pendiente_contacto</t>
        </is>
      </c>
      <c r="Y20" t="inlineStr">
        <is>
          <t>Contactar por email o teléfono</t>
        </is>
      </c>
      <c r="AC20">
        <f>IF(N20="","",TODAY()-N20)</f>
        <v/>
      </c>
      <c r="AD20">
        <f>IF(N20="","Contactar (día 0)",IF(OR(Q20="sí",M20="rechazado",M20="cliente_pago",M20="sin_respuesta"),"",IF(AND(P20&lt;=1,AC20&gt;=3),"Seguimiento 1 (mismo canal)",IF(AND(P20&lt;=2,AC20&gt;=7),"Seguimiento 2 (canal distinto)",IF(AND(P20&lt;=3,AC20&gt;=12),"Seguimiento 3 (último, ofrece cerrar la puerta)",IF(OR(P20&gt;=4,AC20&gt;=15),"Cerrar: marcar sin-respuesta",""))))))</f>
        <v/>
      </c>
    </row>
    <row r="21">
      <c r="A21" t="inlineStr">
        <is>
          <t>Asesoría Ligorred</t>
        </is>
      </c>
      <c r="B21" t="inlineStr">
        <is>
          <t>Zaragoza</t>
        </is>
      </c>
      <c r="C21" t="inlineStr">
        <is>
          <t>Zaragoza</t>
        </is>
      </c>
      <c r="D21" t="inlineStr">
        <is>
          <t>asesorialigorred.es</t>
        </is>
      </c>
      <c r="E21" t="inlineStr">
        <is>
          <t>976259950</t>
        </is>
      </c>
      <c r="H21" t="inlineStr">
        <is>
          <t>A</t>
        </is>
      </c>
      <c r="I21" t="inlineStr">
        <is>
          <t>frío</t>
        </is>
      </c>
      <c r="J21" t="inlineStr">
        <is>
          <t>alto</t>
        </is>
      </c>
      <c r="K21" t="inlineStr">
        <is>
          <t>Búsqueda web 2026-07-11</t>
        </is>
      </c>
      <c r="L21" t="inlineStr">
        <is>
          <t>Especializada en autónomos</t>
        </is>
      </c>
      <c r="M21" t="inlineStr">
        <is>
          <t>pendiente_contacto</t>
        </is>
      </c>
      <c r="Y21" t="inlineStr">
        <is>
          <t>Llamar al teléfono verificado</t>
        </is>
      </c>
      <c r="AC21">
        <f>IF(N21="","",TODAY()-N21)</f>
        <v/>
      </c>
      <c r="AD21">
        <f>IF(N21="","Contactar (día 0)",IF(OR(Q21="sí",M21="rechazado",M21="cliente_pago",M21="sin_respuesta"),"",IF(AND(P21&lt;=1,AC21&gt;=3),"Seguimiento 1 (mismo canal)",IF(AND(P21&lt;=2,AC21&gt;=7),"Seguimiento 2 (canal distinto)",IF(AND(P21&lt;=3,AC21&gt;=12),"Seguimiento 3 (último, ofrece cerrar la puerta)",IF(OR(P21&gt;=4,AC21&gt;=15),"Cerrar: marcar sin-respuesta",""))))))</f>
        <v/>
      </c>
    </row>
    <row r="22">
      <c r="A22" t="inlineStr">
        <is>
          <t>Asesoría AM Zaragoza</t>
        </is>
      </c>
      <c r="B22" t="inlineStr">
        <is>
          <t>Zaragoza</t>
        </is>
      </c>
      <c r="C22" t="inlineStr">
        <is>
          <t>Zaragoza</t>
        </is>
      </c>
      <c r="D22" t="inlineStr">
        <is>
          <t>asesoriaamzaragoza.es</t>
        </is>
      </c>
      <c r="E22" t="inlineStr">
        <is>
          <t>976004971</t>
        </is>
      </c>
      <c r="G22" t="inlineStr">
        <is>
          <t>Plaza Salamero, 14, 2B, 50004 Zaragoza</t>
        </is>
      </c>
      <c r="H22" t="inlineStr">
        <is>
          <t>B</t>
        </is>
      </c>
      <c r="I22" t="inlineStr">
        <is>
          <t>frío</t>
        </is>
      </c>
      <c r="J22" t="inlineStr">
        <is>
          <t>medio</t>
        </is>
      </c>
      <c r="K22" t="inlineStr">
        <is>
          <t>Búsqueda web 2026-07-11</t>
        </is>
      </c>
      <c r="M22" t="inlineStr">
        <is>
          <t>pendiente_contacto</t>
        </is>
      </c>
      <c r="Y22" t="inlineStr">
        <is>
          <t>Llamar al teléfono verificado</t>
        </is>
      </c>
      <c r="AC22">
        <f>IF(N22="","",TODAY()-N22)</f>
        <v/>
      </c>
      <c r="AD22">
        <f>IF(N22="","Contactar (día 0)",IF(OR(Q22="sí",M22="rechazado",M22="cliente_pago",M22="sin_respuesta"),"",IF(AND(P22&lt;=1,AC22&gt;=3),"Seguimiento 1 (mismo canal)",IF(AND(P22&lt;=2,AC22&gt;=7),"Seguimiento 2 (canal distinto)",IF(AND(P22&lt;=3,AC22&gt;=12),"Seguimiento 3 (último, ofrece cerrar la puerta)",IF(OR(P22&gt;=4,AC22&gt;=15),"Cerrar: marcar sin-respuesta",""))))))</f>
        <v/>
      </c>
    </row>
    <row r="23">
      <c r="A23" t="inlineStr">
        <is>
          <t>ASEM</t>
        </is>
      </c>
      <c r="B23" t="inlineStr">
        <is>
          <t>Zaragoza</t>
        </is>
      </c>
      <c r="C23" t="inlineStr">
        <is>
          <t>Zaragoza</t>
        </is>
      </c>
      <c r="D23" t="inlineStr">
        <is>
          <t>asem.es</t>
        </is>
      </c>
      <c r="G23" t="inlineStr">
        <is>
          <t>Calle San Vicente Paúl 25, pral. dcha, 50001 Zaragoza</t>
        </is>
      </c>
      <c r="H23" t="inlineStr">
        <is>
          <t>B</t>
        </is>
      </c>
      <c r="I23" t="inlineStr">
        <is>
          <t>frío</t>
        </is>
      </c>
      <c r="J23" t="inlineStr">
        <is>
          <t>medio</t>
        </is>
      </c>
      <c r="K23" t="inlineStr">
        <is>
          <t>Búsqueda web 2026-07-11</t>
        </is>
      </c>
      <c r="M23" t="inlineStr">
        <is>
          <t>pendiente_contacto</t>
        </is>
      </c>
      <c r="Y23" t="inlineStr">
        <is>
          <t>Verificar teléfono/email en su web antes de contactar</t>
        </is>
      </c>
      <c r="AC23">
        <f>IF(N23="","",TODAY()-N23)</f>
        <v/>
      </c>
      <c r="AD23">
        <f>IF(N23="","Contactar (día 0)",IF(OR(Q23="sí",M23="rechazado",M23="cliente_pago",M23="sin_respuesta"),"",IF(AND(P23&lt;=1,AC23&gt;=3),"Seguimiento 1 (mismo canal)",IF(AND(P23&lt;=2,AC23&gt;=7),"Seguimiento 2 (canal distinto)",IF(AND(P23&lt;=3,AC23&gt;=12),"Seguimiento 3 (último, ofrece cerrar la puerta)",IF(OR(P23&gt;=4,AC23&gt;=15),"Cerrar: marcar sin-respuesta",""))))))</f>
        <v/>
      </c>
    </row>
    <row r="24">
      <c r="A24" t="inlineStr">
        <is>
          <t>Gestoría Esteban &amp; Domínguez</t>
        </is>
      </c>
      <c r="B24" t="inlineStr">
        <is>
          <t>Zaragoza</t>
        </is>
      </c>
      <c r="C24" t="inlineStr">
        <is>
          <t>Zaragoza</t>
        </is>
      </c>
      <c r="D24" t="inlineStr">
        <is>
          <t>gestoriaszaragoza.com</t>
        </is>
      </c>
      <c r="E24" t="inlineStr">
        <is>
          <t>976383035</t>
        </is>
      </c>
      <c r="F24" t="inlineStr">
        <is>
          <t>administracion@gestoriaszaragoza.com</t>
        </is>
      </c>
      <c r="G24" t="inlineStr">
        <is>
          <t>Urb. Paraíso, 4, Zaragoza</t>
        </is>
      </c>
      <c r="H24" t="inlineStr">
        <is>
          <t>B</t>
        </is>
      </c>
      <c r="I24" t="inlineStr">
        <is>
          <t>frío</t>
        </is>
      </c>
      <c r="J24" t="inlineStr">
        <is>
          <t>medio</t>
        </is>
      </c>
      <c r="K24" t="inlineStr">
        <is>
          <t>Búsqueda web 2026-07-11</t>
        </is>
      </c>
      <c r="M24" t="inlineStr">
        <is>
          <t>pendiente_contacto</t>
        </is>
      </c>
      <c r="Y24" t="inlineStr">
        <is>
          <t>Contactar por email o teléfono</t>
        </is>
      </c>
      <c r="AC24">
        <f>IF(N24="","",TODAY()-N24)</f>
        <v/>
      </c>
      <c r="AD24">
        <f>IF(N24="","Contactar (día 0)",IF(OR(Q24="sí",M24="rechazado",M24="cliente_pago",M24="sin_respuesta"),"",IF(AND(P24&lt;=1,AC24&gt;=3),"Seguimiento 1 (mismo canal)",IF(AND(P24&lt;=2,AC24&gt;=7),"Seguimiento 2 (canal distinto)",IF(AND(P24&lt;=3,AC24&gt;=12),"Seguimiento 3 (último, ofrece cerrar la puerta)",IF(OR(P24&gt;=4,AC24&gt;=15),"Cerrar: marcar sin-respuesta",""))))))</f>
        <v/>
      </c>
    </row>
    <row r="25">
      <c r="A25" t="inlineStr">
        <is>
          <t>Asesoría Aldaba</t>
        </is>
      </c>
      <c r="B25" t="inlineStr">
        <is>
          <t>Málaga</t>
        </is>
      </c>
      <c r="C25" t="inlineStr">
        <is>
          <t>Málaga</t>
        </is>
      </c>
      <c r="D25" t="inlineStr">
        <is>
          <t>asesoriaaldaba.com</t>
        </is>
      </c>
      <c r="E25" t="inlineStr">
        <is>
          <t>951829957</t>
        </is>
      </c>
      <c r="F25" t="inlineStr">
        <is>
          <t>info@asesoriaaldaba.com</t>
        </is>
      </c>
      <c r="G25" t="inlineStr">
        <is>
          <t>C/ Ferrocarril del Puerto, 6, local E, 29002 Málaga</t>
        </is>
      </c>
      <c r="H25" t="inlineStr">
        <is>
          <t>A</t>
        </is>
      </c>
      <c r="I25" t="inlineStr">
        <is>
          <t>frío</t>
        </is>
      </c>
      <c r="J25" t="inlineStr">
        <is>
          <t>alto</t>
        </is>
      </c>
      <c r="K25" t="inlineStr">
        <is>
          <t>Búsqueda web 2026-07-11</t>
        </is>
      </c>
      <c r="M25" t="inlineStr">
        <is>
          <t>pendiente_contacto</t>
        </is>
      </c>
      <c r="Y25" t="inlineStr">
        <is>
          <t>Contactar por email o teléfono</t>
        </is>
      </c>
      <c r="AC25">
        <f>IF(N25="","",TODAY()-N25)</f>
        <v/>
      </c>
      <c r="AD25">
        <f>IF(N25="","Contactar (día 0)",IF(OR(Q25="sí",M25="rechazado",M25="cliente_pago",M25="sin_respuesta"),"",IF(AND(P25&lt;=1,AC25&gt;=3),"Seguimiento 1 (mismo canal)",IF(AND(P25&lt;=2,AC25&gt;=7),"Seguimiento 2 (canal distinto)",IF(AND(P25&lt;=3,AC25&gt;=12),"Seguimiento 3 (último, ofrece cerrar la puerta)",IF(OR(P25&gt;=4,AC25&gt;=15),"Cerrar: marcar sin-respuesta",""))))))</f>
        <v/>
      </c>
    </row>
    <row r="26">
      <c r="A26" t="inlineStr">
        <is>
          <t>GesTORÉ</t>
        </is>
      </c>
      <c r="B26" t="inlineStr">
        <is>
          <t>Málaga</t>
        </is>
      </c>
      <c r="C26" t="inlineStr">
        <is>
          <t>Málaga</t>
        </is>
      </c>
      <c r="D26" t="inlineStr">
        <is>
          <t>tore.es</t>
        </is>
      </c>
      <c r="H26" t="inlineStr">
        <is>
          <t>A</t>
        </is>
      </c>
      <c r="I26" t="inlineStr">
        <is>
          <t>frío</t>
        </is>
      </c>
      <c r="J26" t="inlineStr">
        <is>
          <t>alto</t>
        </is>
      </c>
      <c r="K26" t="inlineStr">
        <is>
          <t>Búsqueda web 2026-07-11</t>
        </is>
      </c>
      <c r="L26" t="inlineStr">
        <is>
          <t>Atención en oficina, teléfono o WhatsApp</t>
        </is>
      </c>
      <c r="M26" t="inlineStr">
        <is>
          <t>pendiente_contacto</t>
        </is>
      </c>
      <c r="Y26" t="inlineStr">
        <is>
          <t>Verificar teléfono/email en su web antes de contactar</t>
        </is>
      </c>
      <c r="AC26">
        <f>IF(N26="","",TODAY()-N26)</f>
        <v/>
      </c>
      <c r="AD26">
        <f>IF(N26="","Contactar (día 0)",IF(OR(Q26="sí",M26="rechazado",M26="cliente_pago",M26="sin_respuesta"),"",IF(AND(P26&lt;=1,AC26&gt;=3),"Seguimiento 1 (mismo canal)",IF(AND(P26&lt;=2,AC26&gt;=7),"Seguimiento 2 (canal distinto)",IF(AND(P26&lt;=3,AC26&gt;=12),"Seguimiento 3 (último, ofrece cerrar la puerta)",IF(OR(P26&gt;=4,AC26&gt;=15),"Cerrar: marcar sin-respuesta",""))))))</f>
        <v/>
      </c>
    </row>
    <row r="27">
      <c r="A27" t="inlineStr">
        <is>
          <t>Gestoría Rubén María</t>
        </is>
      </c>
      <c r="B27" t="inlineStr">
        <is>
          <t>Multi-ciudad (Málaga/Alicante/Murcia/Valladolid/A Coruña/Bilbao)</t>
        </is>
      </c>
      <c r="C27" t="inlineStr">
        <is>
          <t>Varias</t>
        </is>
      </c>
      <c r="D27" t="inlineStr">
        <is>
          <t>gestoriarubenmaria.es</t>
        </is>
      </c>
      <c r="E27" t="inlineStr">
        <is>
          <t>620001166</t>
        </is>
      </c>
      <c r="H27" t="inlineStr">
        <is>
          <t>C</t>
        </is>
      </c>
      <c r="I27" t="inlineStr">
        <is>
          <t>frío</t>
        </is>
      </c>
      <c r="J27" t="inlineStr">
        <is>
          <t>bajo</t>
        </is>
      </c>
      <c r="K27" t="inlineStr">
        <is>
          <t>Búsqueda web 2026-07-11</t>
        </is>
      </c>
      <c r="L27" t="inlineStr">
        <is>
          <t>Aparece en varias ciudades — probable operación online multi-oficina, menos prioritaria como piloto por ya estar digitalizada</t>
        </is>
      </c>
      <c r="M27" t="inlineStr">
        <is>
          <t>pendiente_contacto</t>
        </is>
      </c>
      <c r="Y27" t="inlineStr">
        <is>
          <t>Baja prioridad — considerar solo si faltan prospectos</t>
        </is>
      </c>
      <c r="AC27">
        <f>IF(N27="","",TODAY()-N27)</f>
        <v/>
      </c>
      <c r="AD27">
        <f>IF(N27="","Contactar (día 0)",IF(OR(Q27="sí",M27="rechazado",M27="cliente_pago",M27="sin_respuesta"),"",IF(AND(P27&lt;=1,AC27&gt;=3),"Seguimiento 1 (mismo canal)",IF(AND(P27&lt;=2,AC27&gt;=7),"Seguimiento 2 (canal distinto)",IF(AND(P27&lt;=3,AC27&gt;=12),"Seguimiento 3 (último, ofrece cerrar la puerta)",IF(OR(P27&gt;=4,AC27&gt;=15),"Cerrar: marcar sin-respuesta",""))))))</f>
        <v/>
      </c>
    </row>
    <row r="28">
      <c r="A28" t="inlineStr">
        <is>
          <t>Proasa</t>
        </is>
      </c>
      <c r="B28" t="inlineStr">
        <is>
          <t>Málaga</t>
        </is>
      </c>
      <c r="C28" t="inlineStr">
        <is>
          <t>Málaga</t>
        </is>
      </c>
      <c r="D28" t="inlineStr">
        <is>
          <t>proasa.org</t>
        </is>
      </c>
      <c r="E28" t="inlineStr">
        <is>
          <t>952364229</t>
        </is>
      </c>
      <c r="G28" t="inlineStr">
        <is>
          <t>Po. La Alameda C/Nabucco I-6, 29006 Málaga</t>
        </is>
      </c>
      <c r="H28" t="inlineStr">
        <is>
          <t>B</t>
        </is>
      </c>
      <c r="I28" t="inlineStr">
        <is>
          <t>frío</t>
        </is>
      </c>
      <c r="J28" t="inlineStr">
        <is>
          <t>medio</t>
        </is>
      </c>
      <c r="K28" t="inlineStr">
        <is>
          <t>Búsqueda web 2026-07-11</t>
        </is>
      </c>
      <c r="M28" t="inlineStr">
        <is>
          <t>pendiente_contacto</t>
        </is>
      </c>
      <c r="Y28" t="inlineStr">
        <is>
          <t>Llamar al teléfono verificado</t>
        </is>
      </c>
      <c r="AC28">
        <f>IF(N28="","",TODAY()-N28)</f>
        <v/>
      </c>
      <c r="AD28">
        <f>IF(N28="","Contactar (día 0)",IF(OR(Q28="sí",M28="rechazado",M28="cliente_pago",M28="sin_respuesta"),"",IF(AND(P28&lt;=1,AC28&gt;=3),"Seguimiento 1 (mismo canal)",IF(AND(P28&lt;=2,AC28&gt;=7),"Seguimiento 2 (canal distinto)",IF(AND(P28&lt;=3,AC28&gt;=12),"Seguimiento 3 (último, ofrece cerrar la puerta)",IF(OR(P28&gt;=4,AC28&gt;=15),"Cerrar: marcar sin-respuesta",""))))))</f>
        <v/>
      </c>
    </row>
    <row r="29">
      <c r="A29" t="inlineStr">
        <is>
          <t>Asesoría de Autónomos AF</t>
        </is>
      </c>
      <c r="B29" t="inlineStr">
        <is>
          <t>Málaga</t>
        </is>
      </c>
      <c r="C29" t="inlineStr">
        <is>
          <t>Málaga</t>
        </is>
      </c>
      <c r="D29" t="inlineStr">
        <is>
          <t>asesoriaautonomos-af.es</t>
        </is>
      </c>
      <c r="E29" t="inlineStr">
        <is>
          <t>952369200</t>
        </is>
      </c>
      <c r="H29" t="inlineStr">
        <is>
          <t>A</t>
        </is>
      </c>
      <c r="I29" t="inlineStr">
        <is>
          <t>frío</t>
        </is>
      </c>
      <c r="J29" t="inlineStr">
        <is>
          <t>alto</t>
        </is>
      </c>
      <c r="K29" t="inlineStr">
        <is>
          <t>Búsqueda web 2026-07-11</t>
        </is>
      </c>
      <c r="M29" t="inlineStr">
        <is>
          <t>pendiente_contacto</t>
        </is>
      </c>
      <c r="Y29" t="inlineStr">
        <is>
          <t>Llamar al teléfono verificado</t>
        </is>
      </c>
      <c r="AC29">
        <f>IF(N29="","",TODAY()-N29)</f>
        <v/>
      </c>
      <c r="AD29">
        <f>IF(N29="","Contactar (día 0)",IF(OR(Q29="sí",M29="rechazado",M29="cliente_pago",M29="sin_respuesta"),"",IF(AND(P29&lt;=1,AC29&gt;=3),"Seguimiento 1 (mismo canal)",IF(AND(P29&lt;=2,AC29&gt;=7),"Seguimiento 2 (canal distinto)",IF(AND(P29&lt;=3,AC29&gt;=12),"Seguimiento 3 (último, ofrece cerrar la puerta)",IF(OR(P29&gt;=4,AC29&gt;=15),"Cerrar: marcar sin-respuesta",""))))))</f>
        <v/>
      </c>
    </row>
    <row r="30">
      <c r="A30" t="inlineStr">
        <is>
          <t>Asesor Autónomos Málaga</t>
        </is>
      </c>
      <c r="B30" t="inlineStr">
        <is>
          <t>Málaga</t>
        </is>
      </c>
      <c r="C30" t="inlineStr">
        <is>
          <t>Málaga</t>
        </is>
      </c>
      <c r="D30" t="inlineStr">
        <is>
          <t>asesorautonomosmalaga.es</t>
        </is>
      </c>
      <c r="G30" t="inlineStr">
        <is>
          <t>Centro histórico de Málaga</t>
        </is>
      </c>
      <c r="H30" t="inlineStr">
        <is>
          <t>A</t>
        </is>
      </c>
      <c r="I30" t="inlineStr">
        <is>
          <t>frío</t>
        </is>
      </c>
      <c r="J30" t="inlineStr">
        <is>
          <t>alto</t>
        </is>
      </c>
      <c r="K30" t="inlineStr">
        <is>
          <t>Búsqueda web 2026-07-11</t>
        </is>
      </c>
      <c r="M30" t="inlineStr">
        <is>
          <t>pendiente_contacto</t>
        </is>
      </c>
      <c r="Y30" t="inlineStr">
        <is>
          <t>Verificar teléfono/email en su web antes de contactar</t>
        </is>
      </c>
      <c r="AC30">
        <f>IF(N30="","",TODAY()-N30)</f>
        <v/>
      </c>
      <c r="AD30">
        <f>IF(N30="","Contactar (día 0)",IF(OR(Q30="sí",M30="rechazado",M30="cliente_pago",M30="sin_respuesta"),"",IF(AND(P30&lt;=1,AC30&gt;=3),"Seguimiento 1 (mismo canal)",IF(AND(P30&lt;=2,AC30&gt;=7),"Seguimiento 2 (canal distinto)",IF(AND(P30&lt;=3,AC30&gt;=12),"Seguimiento 3 (último, ofrece cerrar la puerta)",IF(OR(P30&gt;=4,AC30&gt;=15),"Cerrar: marcar sin-respuesta",""))))))</f>
        <v/>
      </c>
    </row>
    <row r="31">
      <c r="A31" t="inlineStr">
        <is>
          <t>Gesfiser Ibr</t>
        </is>
      </c>
      <c r="B31" t="inlineStr">
        <is>
          <t>Bilbao</t>
        </is>
      </c>
      <c r="C31" t="inlineStr">
        <is>
          <t>Bizkaia</t>
        </is>
      </c>
      <c r="D31" t="inlineStr">
        <is>
          <t>gesfiser.es</t>
        </is>
      </c>
      <c r="E31" t="inlineStr">
        <is>
          <t>944474072</t>
        </is>
      </c>
      <c r="F31" t="inlineStr">
        <is>
          <t>info@gesfiser.es</t>
        </is>
      </c>
      <c r="G31" t="inlineStr">
        <is>
          <t>C/ Barroeta Aldamar 4, planta 4, Dpto. 41, 48001 Bilbao</t>
        </is>
      </c>
      <c r="H31" t="inlineStr">
        <is>
          <t>A</t>
        </is>
      </c>
      <c r="I31" t="inlineStr">
        <is>
          <t>frío</t>
        </is>
      </c>
      <c r="J31" t="inlineStr">
        <is>
          <t>alto</t>
        </is>
      </c>
      <c r="K31" t="inlineStr">
        <is>
          <t>Búsqueda web 2026-07-11</t>
        </is>
      </c>
      <c r="M31" t="inlineStr">
        <is>
          <t>pendiente_contacto</t>
        </is>
      </c>
      <c r="Y31" t="inlineStr">
        <is>
          <t>Contactar por email o teléfono</t>
        </is>
      </c>
      <c r="AC31">
        <f>IF(N31="","",TODAY()-N31)</f>
        <v/>
      </c>
      <c r="AD31">
        <f>IF(N31="","Contactar (día 0)",IF(OR(Q31="sí",M31="rechazado",M31="cliente_pago",M31="sin_respuesta"),"",IF(AND(P31&lt;=1,AC31&gt;=3),"Seguimiento 1 (mismo canal)",IF(AND(P31&lt;=2,AC31&gt;=7),"Seguimiento 2 (canal distinto)",IF(AND(P31&lt;=3,AC31&gt;=12),"Seguimiento 3 (último, ofrece cerrar la puerta)",IF(OR(P31&gt;=4,AC31&gt;=15),"Cerrar: marcar sin-respuesta",""))))))</f>
        <v/>
      </c>
    </row>
    <row r="32">
      <c r="A32" t="inlineStr">
        <is>
          <t>Gestoría Aguilera</t>
        </is>
      </c>
      <c r="B32" t="inlineStr">
        <is>
          <t>Bilbao</t>
        </is>
      </c>
      <c r="C32" t="inlineStr">
        <is>
          <t>Bizkaia</t>
        </is>
      </c>
      <c r="D32" t="inlineStr">
        <is>
          <t>gestoriaaguilera.com</t>
        </is>
      </c>
      <c r="E32" t="inlineStr">
        <is>
          <t>688729738</t>
        </is>
      </c>
      <c r="G32" t="inlineStr">
        <is>
          <t>C/Marqués del Puerto 12 3E, 48008 Bilbao</t>
        </is>
      </c>
      <c r="H32" t="inlineStr">
        <is>
          <t>A</t>
        </is>
      </c>
      <c r="I32" t="inlineStr">
        <is>
          <t>frío</t>
        </is>
      </c>
      <c r="J32" t="inlineStr">
        <is>
          <t>alto</t>
        </is>
      </c>
      <c r="K32" t="inlineStr">
        <is>
          <t>Búsqueda web 2026-07-11</t>
        </is>
      </c>
      <c r="L32" t="inlineStr">
        <is>
          <t>Asesoría desde 30€/mes</t>
        </is>
      </c>
      <c r="M32" t="inlineStr">
        <is>
          <t>pendiente_contacto</t>
        </is>
      </c>
      <c r="Y32" t="inlineStr">
        <is>
          <t>Llamar al teléfono verificado</t>
        </is>
      </c>
      <c r="AC32">
        <f>IF(N32="","",TODAY()-N32)</f>
        <v/>
      </c>
      <c r="AD32">
        <f>IF(N32="","Contactar (día 0)",IF(OR(Q32="sí",M32="rechazado",M32="cliente_pago",M32="sin_respuesta"),"",IF(AND(P32&lt;=1,AC32&gt;=3),"Seguimiento 1 (mismo canal)",IF(AND(P32&lt;=2,AC32&gt;=7),"Seguimiento 2 (canal distinto)",IF(AND(P32&lt;=3,AC32&gt;=12),"Seguimiento 3 (último, ofrece cerrar la puerta)",IF(OR(P32&gt;=4,AC32&gt;=15),"Cerrar: marcar sin-respuesta",""))))))</f>
        <v/>
      </c>
    </row>
    <row r="33">
      <c r="A33" t="inlineStr">
        <is>
          <t>Gestoría Gabiola</t>
        </is>
      </c>
      <c r="B33" t="inlineStr">
        <is>
          <t>Bilbao</t>
        </is>
      </c>
      <c r="C33" t="inlineStr">
        <is>
          <t>Bizkaia</t>
        </is>
      </c>
      <c r="D33" t="inlineStr">
        <is>
          <t>gestoriagabiola.com</t>
        </is>
      </c>
      <c r="E33" t="inlineStr">
        <is>
          <t>944444324</t>
        </is>
      </c>
      <c r="F33" t="inlineStr">
        <is>
          <t>info@gestoriagabiola.com</t>
        </is>
      </c>
      <c r="G33" t="inlineStr">
        <is>
          <t>Calle Alcalde Felipe Uhagón, 9, planta 5, 48010 Bilbao</t>
        </is>
      </c>
      <c r="H33" t="inlineStr">
        <is>
          <t>B</t>
        </is>
      </c>
      <c r="I33" t="inlineStr">
        <is>
          <t>frío</t>
        </is>
      </c>
      <c r="J33" t="inlineStr">
        <is>
          <t>medio</t>
        </is>
      </c>
      <c r="K33" t="inlineStr">
        <is>
          <t>Búsqueda web 2026-07-11</t>
        </is>
      </c>
      <c r="M33" t="inlineStr">
        <is>
          <t>pendiente_contacto</t>
        </is>
      </c>
      <c r="Y33" t="inlineStr">
        <is>
          <t>Contactar por email o teléfono</t>
        </is>
      </c>
      <c r="AC33">
        <f>IF(N33="","",TODAY()-N33)</f>
        <v/>
      </c>
      <c r="AD33">
        <f>IF(N33="","Contactar (día 0)",IF(OR(Q33="sí",M33="rechazado",M33="cliente_pago",M33="sin_respuesta"),"",IF(AND(P33&lt;=1,AC33&gt;=3),"Seguimiento 1 (mismo canal)",IF(AND(P33&lt;=2,AC33&gt;=7),"Seguimiento 2 (canal distinto)",IF(AND(P33&lt;=3,AC33&gt;=12),"Seguimiento 3 (último, ofrece cerrar la puerta)",IF(OR(P33&gt;=4,AC33&gt;=15),"Cerrar: marcar sin-respuesta",""))))))</f>
        <v/>
      </c>
    </row>
    <row r="34">
      <c r="A34" t="inlineStr">
        <is>
          <t>Gestoría Galarza</t>
        </is>
      </c>
      <c r="B34" t="inlineStr">
        <is>
          <t>Bilbao</t>
        </is>
      </c>
      <c r="C34" t="inlineStr">
        <is>
          <t>Bizkaia</t>
        </is>
      </c>
      <c r="D34" t="inlineStr">
        <is>
          <t>gestoriagalarza.com</t>
        </is>
      </c>
      <c r="G34" t="inlineStr">
        <is>
          <t>Alameda Recalde, 61, 48010 Bilbao</t>
        </is>
      </c>
      <c r="H34" t="inlineStr">
        <is>
          <t>B</t>
        </is>
      </c>
      <c r="I34" t="inlineStr">
        <is>
          <t>frío</t>
        </is>
      </c>
      <c r="J34" t="inlineStr">
        <is>
          <t>medio</t>
        </is>
      </c>
      <c r="K34" t="inlineStr">
        <is>
          <t>Búsqueda web 2026-07-11</t>
        </is>
      </c>
      <c r="M34" t="inlineStr">
        <is>
          <t>pendiente_contacto</t>
        </is>
      </c>
      <c r="Y34" t="inlineStr">
        <is>
          <t>Verificar teléfono/email en su web antes de contactar</t>
        </is>
      </c>
      <c r="AC34">
        <f>IF(N34="","",TODAY()-N34)</f>
        <v/>
      </c>
      <c r="AD34">
        <f>IF(N34="","Contactar (día 0)",IF(OR(Q34="sí",M34="rechazado",M34="cliente_pago",M34="sin_respuesta"),"",IF(AND(P34&lt;=1,AC34&gt;=3),"Seguimiento 1 (mismo canal)",IF(AND(P34&lt;=2,AC34&gt;=7),"Seguimiento 2 (canal distinto)",IF(AND(P34&lt;=3,AC34&gt;=12),"Seguimiento 3 (último, ofrece cerrar la puerta)",IF(OR(P34&gt;=4,AC34&gt;=15),"Cerrar: marcar sin-respuesta",""))))))</f>
        <v/>
      </c>
    </row>
    <row r="35">
      <c r="A35" t="inlineStr">
        <is>
          <t>Gestoría e Madrid</t>
        </is>
      </c>
      <c r="B35" t="inlineStr">
        <is>
          <t>Madrid</t>
        </is>
      </c>
      <c r="C35" t="inlineStr">
        <is>
          <t>Madrid</t>
        </is>
      </c>
      <c r="D35" t="inlineStr">
        <is>
          <t>gestoriaemadrid.com</t>
        </is>
      </c>
      <c r="E35" t="inlineStr">
        <is>
          <t>914458632</t>
        </is>
      </c>
      <c r="G35" t="inlineStr">
        <is>
          <t>C/ General Álvarez de Castro, 41, Madrid</t>
        </is>
      </c>
      <c r="H35" t="inlineStr">
        <is>
          <t>A</t>
        </is>
      </c>
      <c r="I35" t="inlineStr">
        <is>
          <t>frío</t>
        </is>
      </c>
      <c r="J35" t="inlineStr">
        <is>
          <t>alto</t>
        </is>
      </c>
      <c r="K35" t="inlineStr">
        <is>
          <t>Búsqueda web 2026-07-11</t>
        </is>
      </c>
      <c r="L35" t="inlineStr">
        <is>
          <t>Especialista en alta de autónomos, constitución de empresas, Renta</t>
        </is>
      </c>
      <c r="M35" t="inlineStr">
        <is>
          <t>pendiente_contacto</t>
        </is>
      </c>
      <c r="Y35" t="inlineStr">
        <is>
          <t>Llamar al teléfono verificado</t>
        </is>
      </c>
      <c r="AC35">
        <f>IF(N35="","",TODAY()-N35)</f>
        <v/>
      </c>
      <c r="AD35">
        <f>IF(N35="","Contactar (día 0)",IF(OR(Q35="sí",M35="rechazado",M35="cliente_pago",M35="sin_respuesta"),"",IF(AND(P35&lt;=1,AC35&gt;=3),"Seguimiento 1 (mismo canal)",IF(AND(P35&lt;=2,AC35&gt;=7),"Seguimiento 2 (canal distinto)",IF(AND(P35&lt;=3,AC35&gt;=12),"Seguimiento 3 (último, ofrece cerrar la puerta)",IF(OR(P35&gt;=4,AC35&gt;=15),"Cerrar: marcar sin-respuesta",""))))))</f>
        <v/>
      </c>
    </row>
    <row r="36">
      <c r="A36" t="inlineStr">
        <is>
          <t>MZG Asesores</t>
        </is>
      </c>
      <c r="B36" t="inlineStr">
        <is>
          <t>Madrid</t>
        </is>
      </c>
      <c r="C36" t="inlineStr">
        <is>
          <t>Madrid</t>
        </is>
      </c>
      <c r="D36" t="inlineStr">
        <is>
          <t>mzgasesores.es</t>
        </is>
      </c>
      <c r="E36" t="inlineStr">
        <is>
          <t>915650904</t>
        </is>
      </c>
      <c r="H36" t="inlineStr">
        <is>
          <t>B</t>
        </is>
      </c>
      <c r="I36" t="inlineStr">
        <is>
          <t>frío</t>
        </is>
      </c>
      <c r="J36" t="inlineStr">
        <is>
          <t>medio</t>
        </is>
      </c>
      <c r="K36" t="inlineStr">
        <is>
          <t>Búsqueda web 2026-07-11</t>
        </is>
      </c>
      <c r="L36" t="inlineStr">
        <is>
          <t>Externalización de contabilidad, fiscalidad y laboral</t>
        </is>
      </c>
      <c r="M36" t="inlineStr">
        <is>
          <t>pendiente_contacto</t>
        </is>
      </c>
      <c r="Y36" t="inlineStr">
        <is>
          <t>Llamar al teléfono verificado</t>
        </is>
      </c>
      <c r="AC36">
        <f>IF(N36="","",TODAY()-N36)</f>
        <v/>
      </c>
      <c r="AD36">
        <f>IF(N36="","Contactar (día 0)",IF(OR(Q36="sí",M36="rechazado",M36="cliente_pago",M36="sin_respuesta"),"",IF(AND(P36&lt;=1,AC36&gt;=3),"Seguimiento 1 (mismo canal)",IF(AND(P36&lt;=2,AC36&gt;=7),"Seguimiento 2 (canal distinto)",IF(AND(P36&lt;=3,AC36&gt;=12),"Seguimiento 3 (último, ofrece cerrar la puerta)",IF(OR(P36&gt;=4,AC36&gt;=15),"Cerrar: marcar sin-respuesta",""))))))</f>
        <v/>
      </c>
    </row>
    <row r="37">
      <c r="A37" t="inlineStr">
        <is>
          <t>Gestión de Autónomos</t>
        </is>
      </c>
      <c r="B37" t="inlineStr">
        <is>
          <t>Madrid</t>
        </is>
      </c>
      <c r="C37" t="inlineStr">
        <is>
          <t>Madrid</t>
        </is>
      </c>
      <c r="D37" t="inlineStr">
        <is>
          <t>gestiondeautonomos.es</t>
        </is>
      </c>
      <c r="E37" t="inlineStr">
        <is>
          <t>913839652</t>
        </is>
      </c>
      <c r="G37" t="inlineStr">
        <is>
          <t>Av. del Monasterio de Silos, 13, Local Photofilms, 28049 Madrid</t>
        </is>
      </c>
      <c r="H37" t="inlineStr">
        <is>
          <t>A</t>
        </is>
      </c>
      <c r="I37" t="inlineStr">
        <is>
          <t>frío</t>
        </is>
      </c>
      <c r="J37" t="inlineStr">
        <is>
          <t>alto</t>
        </is>
      </c>
      <c r="K37" t="inlineStr">
        <is>
          <t>Búsqueda web 2026-07-11</t>
        </is>
      </c>
      <c r="M37" t="inlineStr">
        <is>
          <t>pendiente_contacto</t>
        </is>
      </c>
      <c r="Y37" t="inlineStr">
        <is>
          <t>Llamar al teléfono verificado</t>
        </is>
      </c>
      <c r="AC37">
        <f>IF(N37="","",TODAY()-N37)</f>
        <v/>
      </c>
      <c r="AD37">
        <f>IF(N37="","Contactar (día 0)",IF(OR(Q37="sí",M37="rechazado",M37="cliente_pago",M37="sin_respuesta"),"",IF(AND(P37&lt;=1,AC37&gt;=3),"Seguimiento 1 (mismo canal)",IF(AND(P37&lt;=2,AC37&gt;=7),"Seguimiento 2 (canal distinto)",IF(AND(P37&lt;=3,AC37&gt;=12),"Seguimiento 3 (último, ofrece cerrar la puerta)",IF(OR(P37&gt;=4,AC37&gt;=15),"Cerrar: marcar sin-respuesta",""))))))</f>
        <v/>
      </c>
    </row>
    <row r="38">
      <c r="A38" t="inlineStr">
        <is>
          <t>Gestoralia</t>
        </is>
      </c>
      <c r="B38" t="inlineStr">
        <is>
          <t>Madrid</t>
        </is>
      </c>
      <c r="C38" t="inlineStr">
        <is>
          <t>Madrid</t>
        </is>
      </c>
      <c r="D38" t="inlineStr">
        <is>
          <t>gestoralia.net</t>
        </is>
      </c>
      <c r="E38" t="inlineStr">
        <is>
          <t>913916990</t>
        </is>
      </c>
      <c r="H38" t="inlineStr">
        <is>
          <t>A</t>
        </is>
      </c>
      <c r="I38" t="inlineStr">
        <is>
          <t>frío</t>
        </is>
      </c>
      <c r="J38" t="inlineStr">
        <is>
          <t>alto</t>
        </is>
      </c>
      <c r="K38" t="inlineStr">
        <is>
          <t>Búsqueda web 2026-07-11</t>
        </is>
      </c>
      <c r="L38" t="inlineStr">
        <is>
          <t>Gestoría de autónomos en Madrid</t>
        </is>
      </c>
      <c r="M38" t="inlineStr">
        <is>
          <t>pendiente_contacto</t>
        </is>
      </c>
      <c r="Y38" t="inlineStr">
        <is>
          <t>Llamar al teléfono verificado</t>
        </is>
      </c>
      <c r="AC38">
        <f>IF(N38="","",TODAY()-N38)</f>
        <v/>
      </c>
      <c r="AD38">
        <f>IF(N38="","Contactar (día 0)",IF(OR(Q38="sí",M38="rechazado",M38="cliente_pago",M38="sin_respuesta"),"",IF(AND(P38&lt;=1,AC38&gt;=3),"Seguimiento 1 (mismo canal)",IF(AND(P38&lt;=2,AC38&gt;=7),"Seguimiento 2 (canal distinto)",IF(AND(P38&lt;=3,AC38&gt;=12),"Seguimiento 3 (último, ofrece cerrar la puerta)",IF(OR(P38&gt;=4,AC38&gt;=15),"Cerrar: marcar sin-respuesta",""))))))</f>
        <v/>
      </c>
    </row>
    <row r="39">
      <c r="A39" t="inlineStr">
        <is>
          <t>GestAlacant</t>
        </is>
      </c>
      <c r="B39" t="inlineStr">
        <is>
          <t>Alicante</t>
        </is>
      </c>
      <c r="C39" t="inlineStr">
        <is>
          <t>Alicante</t>
        </is>
      </c>
      <c r="D39" t="inlineStr">
        <is>
          <t>gestalacant.com</t>
        </is>
      </c>
      <c r="E39" t="inlineStr">
        <is>
          <t>965920107</t>
        </is>
      </c>
      <c r="G39" t="inlineStr">
        <is>
          <t>Calle José María Py, 21, 03005 Alicante</t>
        </is>
      </c>
      <c r="H39" t="inlineStr">
        <is>
          <t>B</t>
        </is>
      </c>
      <c r="I39" t="inlineStr">
        <is>
          <t>frío</t>
        </is>
      </c>
      <c r="J39" t="inlineStr">
        <is>
          <t>medio</t>
        </is>
      </c>
      <c r="K39" t="inlineStr">
        <is>
          <t>Búsqueda web 2026-07-11</t>
        </is>
      </c>
      <c r="M39" t="inlineStr">
        <is>
          <t>pendiente_contacto</t>
        </is>
      </c>
      <c r="Y39" t="inlineStr">
        <is>
          <t>Llamar al teléfono verificado</t>
        </is>
      </c>
      <c r="AC39">
        <f>IF(N39="","",TODAY()-N39)</f>
        <v/>
      </c>
      <c r="AD39">
        <f>IF(N39="","Contactar (día 0)",IF(OR(Q39="sí",M39="rechazado",M39="cliente_pago",M39="sin_respuesta"),"",IF(AND(P39&lt;=1,AC39&gt;=3),"Seguimiento 1 (mismo canal)",IF(AND(P39&lt;=2,AC39&gt;=7),"Seguimiento 2 (canal distinto)",IF(AND(P39&lt;=3,AC39&gt;=12),"Seguimiento 3 (último, ofrece cerrar la puerta)",IF(OR(P39&gt;=4,AC39&gt;=15),"Cerrar: marcar sin-respuesta",""))))))</f>
        <v/>
      </c>
    </row>
    <row r="40">
      <c r="A40" t="inlineStr">
        <is>
          <t>San Nicolás Asesores</t>
        </is>
      </c>
      <c r="B40" t="inlineStr">
        <is>
          <t>Alicante</t>
        </is>
      </c>
      <c r="C40" t="inlineStr">
        <is>
          <t>Alicante</t>
        </is>
      </c>
      <c r="D40" t="inlineStr">
        <is>
          <t>sannicolasasesores.es</t>
        </is>
      </c>
      <c r="E40" t="inlineStr">
        <is>
          <t>965922315</t>
        </is>
      </c>
      <c r="G40" t="inlineStr">
        <is>
          <t>Alicante centro</t>
        </is>
      </c>
      <c r="H40" t="inlineStr">
        <is>
          <t>B</t>
        </is>
      </c>
      <c r="I40" t="inlineStr">
        <is>
          <t>frío</t>
        </is>
      </c>
      <c r="J40" t="inlineStr">
        <is>
          <t>medio</t>
        </is>
      </c>
      <c r="K40" t="inlineStr">
        <is>
          <t>Búsqueda web 2026-07-11</t>
        </is>
      </c>
      <c r="M40" t="inlineStr">
        <is>
          <t>pendiente_contacto</t>
        </is>
      </c>
      <c r="Y40" t="inlineStr">
        <is>
          <t>Llamar al teléfono verificado</t>
        </is>
      </c>
      <c r="AC40">
        <f>IF(N40="","",TODAY()-N40)</f>
        <v/>
      </c>
      <c r="AD40">
        <f>IF(N40="","Contactar (día 0)",IF(OR(Q40="sí",M40="rechazado",M40="cliente_pago",M40="sin_respuesta"),"",IF(AND(P40&lt;=1,AC40&gt;=3),"Seguimiento 1 (mismo canal)",IF(AND(P40&lt;=2,AC40&gt;=7),"Seguimiento 2 (canal distinto)",IF(AND(P40&lt;=3,AC40&gt;=12),"Seguimiento 3 (último, ofrece cerrar la puerta)",IF(OR(P40&gt;=4,AC40&gt;=15),"Cerrar: marcar sin-respuesta",""))))))</f>
        <v/>
      </c>
    </row>
    <row r="41">
      <c r="A41" t="inlineStr">
        <is>
          <t>Asesores JR</t>
        </is>
      </c>
      <c r="B41" t="inlineStr">
        <is>
          <t>Alicante</t>
        </is>
      </c>
      <c r="C41" t="inlineStr">
        <is>
          <t>Alicante</t>
        </is>
      </c>
      <c r="D41" t="inlineStr">
        <is>
          <t>asesoresjr.net</t>
        </is>
      </c>
      <c r="E41" t="inlineStr">
        <is>
          <t>966146688</t>
        </is>
      </c>
      <c r="G41" t="inlineStr">
        <is>
          <t>Av. Condes de Soto Ameno, 19, 03005 Alicante</t>
        </is>
      </c>
      <c r="H41" t="inlineStr">
        <is>
          <t>B</t>
        </is>
      </c>
      <c r="I41" t="inlineStr">
        <is>
          <t>frío</t>
        </is>
      </c>
      <c r="J41" t="inlineStr">
        <is>
          <t>medio</t>
        </is>
      </c>
      <c r="K41" t="inlineStr">
        <is>
          <t>Búsqueda web 2026-07-11</t>
        </is>
      </c>
      <c r="L41" t="inlineStr">
        <is>
          <t>Fiscal, contabilidad, laboral, jurídico, tráfico, gestoría</t>
        </is>
      </c>
      <c r="M41" t="inlineStr">
        <is>
          <t>pendiente_contacto</t>
        </is>
      </c>
      <c r="Y41" t="inlineStr">
        <is>
          <t>Llamar al teléfono verificado</t>
        </is>
      </c>
      <c r="AC41">
        <f>IF(N41="","",TODAY()-N41)</f>
        <v/>
      </c>
      <c r="AD41">
        <f>IF(N41="","Contactar (día 0)",IF(OR(Q41="sí",M41="rechazado",M41="cliente_pago",M41="sin_respuesta"),"",IF(AND(P41&lt;=1,AC41&gt;=3),"Seguimiento 1 (mismo canal)",IF(AND(P41&lt;=2,AC41&gt;=7),"Seguimiento 2 (canal distinto)",IF(AND(P41&lt;=3,AC41&gt;=12),"Seguimiento 3 (último, ofrece cerrar la puerta)",IF(OR(P41&gt;=4,AC41&gt;=15),"Cerrar: marcar sin-respuesta",""))))))</f>
        <v/>
      </c>
    </row>
    <row r="42">
      <c r="A42" t="inlineStr">
        <is>
          <t>Mprende</t>
        </is>
      </c>
      <c r="B42" t="inlineStr">
        <is>
          <t>Alicante</t>
        </is>
      </c>
      <c r="C42" t="inlineStr">
        <is>
          <t>Alicante</t>
        </is>
      </c>
      <c r="D42" t="inlineStr">
        <is>
          <t>mprende.net</t>
        </is>
      </c>
      <c r="E42" t="inlineStr">
        <is>
          <t>965203375</t>
        </is>
      </c>
      <c r="H42" t="inlineStr">
        <is>
          <t>A</t>
        </is>
      </c>
      <c r="I42" t="inlineStr">
        <is>
          <t>frío</t>
        </is>
      </c>
      <c r="J42" t="inlineStr">
        <is>
          <t>alto</t>
        </is>
      </c>
      <c r="K42" t="inlineStr">
        <is>
          <t>Búsqueda web 2026-07-11</t>
        </is>
      </c>
      <c r="L42" t="inlineStr">
        <is>
          <t>Fiscal, laboral y contable para pymes, autónomos y emprendedores — verificar teléfono exacto, la fuente daba un dígito de más</t>
        </is>
      </c>
      <c r="M42" t="inlineStr">
        <is>
          <t>pendiente_contacto</t>
        </is>
      </c>
      <c r="Y42" t="inlineStr">
        <is>
          <t>Verificar teléfono en su web antes de llamar</t>
        </is>
      </c>
      <c r="AC42">
        <f>IF(N42="","",TODAY()-N42)</f>
        <v/>
      </c>
      <c r="AD42">
        <f>IF(N42="","Contactar (día 0)",IF(OR(Q42="sí",M42="rechazado",M42="cliente_pago",M42="sin_respuesta"),"",IF(AND(P42&lt;=1,AC42&gt;=3),"Seguimiento 1 (mismo canal)",IF(AND(P42&lt;=2,AC42&gt;=7),"Seguimiento 2 (canal distinto)",IF(AND(P42&lt;=3,AC42&gt;=12),"Seguimiento 3 (último, ofrece cerrar la puerta)",IF(OR(P42&gt;=4,AC42&gt;=15),"Cerrar: marcar sin-respuesta",""))))))</f>
        <v/>
      </c>
    </row>
    <row r="43">
      <c r="A43" t="inlineStr">
        <is>
          <t>Consulting Confislab</t>
        </is>
      </c>
      <c r="B43" t="inlineStr">
        <is>
          <t>Palma de Mallorca</t>
        </is>
      </c>
      <c r="C43" t="inlineStr">
        <is>
          <t>Illes Balears</t>
        </is>
      </c>
      <c r="D43" t="inlineStr">
        <is>
          <t>consultingconfislab.es</t>
        </is>
      </c>
      <c r="E43" t="inlineStr">
        <is>
          <t>971759736</t>
        </is>
      </c>
      <c r="G43" t="inlineStr">
        <is>
          <t>Archiduque Luis Salvador, 15 Bajos, 07004 Palma</t>
        </is>
      </c>
      <c r="H43" t="inlineStr">
        <is>
          <t>B</t>
        </is>
      </c>
      <c r="I43" t="inlineStr">
        <is>
          <t>frío</t>
        </is>
      </c>
      <c r="J43" t="inlineStr">
        <is>
          <t>medio</t>
        </is>
      </c>
      <c r="K43" t="inlineStr">
        <is>
          <t>Búsqueda web 2026-07-11</t>
        </is>
      </c>
      <c r="M43" t="inlineStr">
        <is>
          <t>pendiente_contacto</t>
        </is>
      </c>
      <c r="Y43" t="inlineStr">
        <is>
          <t>Llamar al teléfono verificado</t>
        </is>
      </c>
      <c r="AC43">
        <f>IF(N43="","",TODAY()-N43)</f>
        <v/>
      </c>
      <c r="AD43">
        <f>IF(N43="","Contactar (día 0)",IF(OR(Q43="sí",M43="rechazado",M43="cliente_pago",M43="sin_respuesta"),"",IF(AND(P43&lt;=1,AC43&gt;=3),"Seguimiento 1 (mismo canal)",IF(AND(P43&lt;=2,AC43&gt;=7),"Seguimiento 2 (canal distinto)",IF(AND(P43&lt;=3,AC43&gt;=12),"Seguimiento 3 (último, ofrece cerrar la puerta)",IF(OR(P43&gt;=4,AC43&gt;=15),"Cerrar: marcar sin-respuesta",""))))))</f>
        <v/>
      </c>
    </row>
    <row r="44">
      <c r="A44" t="inlineStr">
        <is>
          <t>Asesoría MJ Mallorca</t>
        </is>
      </c>
      <c r="B44" t="inlineStr">
        <is>
          <t>Palma de Mallorca</t>
        </is>
      </c>
      <c r="C44" t="inlineStr">
        <is>
          <t>Illes Balears</t>
        </is>
      </c>
      <c r="D44" t="inlineStr">
        <is>
          <t>asesoriamjmallorca.es</t>
        </is>
      </c>
      <c r="E44" t="inlineStr">
        <is>
          <t>654855645</t>
        </is>
      </c>
      <c r="F44" t="inlineStr">
        <is>
          <t>info@asesoriamjmallorca.es</t>
        </is>
      </c>
      <c r="H44" t="inlineStr">
        <is>
          <t>A</t>
        </is>
      </c>
      <c r="I44" t="inlineStr">
        <is>
          <t>frío</t>
        </is>
      </c>
      <c r="J44" t="inlineStr">
        <is>
          <t>alto</t>
        </is>
      </c>
      <c r="K44" t="inlineStr">
        <is>
          <t>Búsqueda web 2026-07-11</t>
        </is>
      </c>
      <c r="M44" t="inlineStr">
        <is>
          <t>pendiente_contacto</t>
        </is>
      </c>
      <c r="Y44" t="inlineStr">
        <is>
          <t>Contactar por email o teléfono</t>
        </is>
      </c>
      <c r="AC44">
        <f>IF(N44="","",TODAY()-N44)</f>
        <v/>
      </c>
      <c r="AD44">
        <f>IF(N44="","Contactar (día 0)",IF(OR(Q44="sí",M44="rechazado",M44="cliente_pago",M44="sin_respuesta"),"",IF(AND(P44&lt;=1,AC44&gt;=3),"Seguimiento 1 (mismo canal)",IF(AND(P44&lt;=2,AC44&gt;=7),"Seguimiento 2 (canal distinto)",IF(AND(P44&lt;=3,AC44&gt;=12),"Seguimiento 3 (último, ofrece cerrar la puerta)",IF(OR(P44&gt;=4,AC44&gt;=15),"Cerrar: marcar sin-respuesta",""))))))</f>
        <v/>
      </c>
    </row>
    <row r="45">
      <c r="A45" t="inlineStr">
        <is>
          <t>MJMASSIP</t>
        </is>
      </c>
      <c r="B45" t="inlineStr">
        <is>
          <t>Palma de Mallorca</t>
        </is>
      </c>
      <c r="C45" t="inlineStr">
        <is>
          <t>Illes Balears</t>
        </is>
      </c>
      <c r="D45" t="inlineStr">
        <is>
          <t>mjmassip.es</t>
        </is>
      </c>
      <c r="H45" t="inlineStr">
        <is>
          <t>B</t>
        </is>
      </c>
      <c r="I45" t="inlineStr">
        <is>
          <t>frío</t>
        </is>
      </c>
      <c r="J45" t="inlineStr">
        <is>
          <t>medio</t>
        </is>
      </c>
      <c r="K45" t="inlineStr">
        <is>
          <t>Búsqueda web 2026-07-11</t>
        </is>
      </c>
      <c r="M45" t="inlineStr">
        <is>
          <t>pendiente_contacto</t>
        </is>
      </c>
      <c r="Y45" t="inlineStr">
        <is>
          <t>Verificar teléfono/email en su web antes de contactar</t>
        </is>
      </c>
      <c r="AC45">
        <f>IF(N45="","",TODAY()-N45)</f>
        <v/>
      </c>
      <c r="AD45">
        <f>IF(N45="","Contactar (día 0)",IF(OR(Q45="sí",M45="rechazado",M45="cliente_pago",M45="sin_respuesta"),"",IF(AND(P45&lt;=1,AC45&gt;=3),"Seguimiento 1 (mismo canal)",IF(AND(P45&lt;=2,AC45&gt;=7),"Seguimiento 2 (canal distinto)",IF(AND(P45&lt;=3,AC45&gt;=12),"Seguimiento 3 (último, ofrece cerrar la puerta)",IF(OR(P45&gt;=4,AC45&gt;=15),"Cerrar: marcar sin-respuesta",""))))))</f>
        <v/>
      </c>
    </row>
    <row r="46">
      <c r="A46" t="inlineStr">
        <is>
          <t>Labor3 Asesores</t>
        </is>
      </c>
      <c r="B46" t="inlineStr">
        <is>
          <t>Palma de Mallorca</t>
        </is>
      </c>
      <c r="C46" t="inlineStr">
        <is>
          <t>Illes Balears</t>
        </is>
      </c>
      <c r="D46" t="inlineStr">
        <is>
          <t>labor3asesores.com</t>
        </is>
      </c>
      <c r="G46" t="inlineStr">
        <is>
          <t>Centro de Palma</t>
        </is>
      </c>
      <c r="H46" t="inlineStr">
        <is>
          <t>B</t>
        </is>
      </c>
      <c r="I46" t="inlineStr">
        <is>
          <t>frío</t>
        </is>
      </c>
      <c r="J46" t="inlineStr">
        <is>
          <t>medio</t>
        </is>
      </c>
      <c r="K46" t="inlineStr">
        <is>
          <t>Búsqueda web 2026-07-11</t>
        </is>
      </c>
      <c r="L46" t="inlineStr">
        <is>
          <t>Laboral, fiscal y contable para autónomos y empresas</t>
        </is>
      </c>
      <c r="M46" t="inlineStr">
        <is>
          <t>pendiente_contacto</t>
        </is>
      </c>
      <c r="Y46" t="inlineStr">
        <is>
          <t>Verificar teléfono/email en su web antes de contactar</t>
        </is>
      </c>
      <c r="AC46">
        <f>IF(N46="","",TODAY()-N46)</f>
        <v/>
      </c>
      <c r="AD46">
        <f>IF(N46="","Contactar (día 0)",IF(OR(Q46="sí",M46="rechazado",M46="cliente_pago",M46="sin_respuesta"),"",IF(AND(P46&lt;=1,AC46&gt;=3),"Seguimiento 1 (mismo canal)",IF(AND(P46&lt;=2,AC46&gt;=7),"Seguimiento 2 (canal distinto)",IF(AND(P46&lt;=3,AC46&gt;=12),"Seguimiento 3 (último, ofrece cerrar la puerta)",IF(OR(P46&gt;=4,AC46&gt;=15),"Cerrar: marcar sin-respuesta",""))))))</f>
        <v/>
      </c>
    </row>
    <row r="47">
      <c r="A47" t="inlineStr">
        <is>
          <t>Asesoría Company (Confialia)</t>
        </is>
      </c>
      <c r="B47" t="inlineStr">
        <is>
          <t>Palma de Mallorca</t>
        </is>
      </c>
      <c r="C47" t="inlineStr">
        <is>
          <t>Illes Balears</t>
        </is>
      </c>
      <c r="D47" t="inlineStr">
        <is>
          <t>confialia.com</t>
        </is>
      </c>
      <c r="H47" t="inlineStr">
        <is>
          <t>B</t>
        </is>
      </c>
      <c r="I47" t="inlineStr">
        <is>
          <t>frío</t>
        </is>
      </c>
      <c r="J47" t="inlineStr">
        <is>
          <t>medio</t>
        </is>
      </c>
      <c r="K47" t="inlineStr">
        <is>
          <t>Búsqueda web 2026-07-11</t>
        </is>
      </c>
      <c r="L47" t="inlineStr">
        <is>
          <t>Más de 30 años de experiencia — puede ser más institucional</t>
        </is>
      </c>
      <c r="M47" t="inlineStr">
        <is>
          <t>pendiente_contacto</t>
        </is>
      </c>
      <c r="Y47" t="inlineStr">
        <is>
          <t>Verificar teléfono/email en su web antes de contactar</t>
        </is>
      </c>
      <c r="AC47">
        <f>IF(N47="","",TODAY()-N47)</f>
        <v/>
      </c>
      <c r="AD47">
        <f>IF(N47="","Contactar (día 0)",IF(OR(Q47="sí",M47="rechazado",M47="cliente_pago",M47="sin_respuesta"),"",IF(AND(P47&lt;=1,AC47&gt;=3),"Seguimiento 1 (mismo canal)",IF(AND(P47&lt;=2,AC47&gt;=7),"Seguimiento 2 (canal distinto)",IF(AND(P47&lt;=3,AC47&gt;=12),"Seguimiento 3 (último, ofrece cerrar la puerta)",IF(OR(P47&gt;=4,AC47&gt;=15),"Cerrar: marcar sin-respuesta",""))))))</f>
        <v/>
      </c>
    </row>
    <row r="48">
      <c r="A48" t="inlineStr">
        <is>
          <t>Bonet Asesores</t>
        </is>
      </c>
      <c r="B48" t="inlineStr">
        <is>
          <t>Palma de Mallorca</t>
        </is>
      </c>
      <c r="C48" t="inlineStr">
        <is>
          <t>Illes Balears</t>
        </is>
      </c>
      <c r="D48" t="inlineStr">
        <is>
          <t>bonetasesores.com</t>
        </is>
      </c>
      <c r="G48" t="inlineStr">
        <is>
          <t>Centro de Palma</t>
        </is>
      </c>
      <c r="H48" t="inlineStr">
        <is>
          <t>B</t>
        </is>
      </c>
      <c r="I48" t="inlineStr">
        <is>
          <t>frío</t>
        </is>
      </c>
      <c r="J48" t="inlineStr">
        <is>
          <t>medio</t>
        </is>
      </c>
      <c r="K48" t="inlineStr">
        <is>
          <t>Búsqueda web 2026-07-11</t>
        </is>
      </c>
      <c r="M48" t="inlineStr">
        <is>
          <t>pendiente_contacto</t>
        </is>
      </c>
      <c r="Y48" t="inlineStr">
        <is>
          <t>Verificar teléfono/email en su web antes de contactar</t>
        </is>
      </c>
      <c r="AC48">
        <f>IF(N48="","",TODAY()-N48)</f>
        <v/>
      </c>
      <c r="AD48">
        <f>IF(N48="","Contactar (día 0)",IF(OR(Q48="sí",M48="rechazado",M48="cliente_pago",M48="sin_respuesta"),"",IF(AND(P48&lt;=1,AC48&gt;=3),"Seguimiento 1 (mismo canal)",IF(AND(P48&lt;=2,AC48&gt;=7),"Seguimiento 2 (canal distinto)",IF(AND(P48&lt;=3,AC48&gt;=12),"Seguimiento 3 (último, ofrece cerrar la puerta)",IF(OR(P48&gt;=4,AC48&gt;=15),"Cerrar: marcar sin-respuesta",""))))))</f>
        <v/>
      </c>
    </row>
    <row r="49">
      <c r="A49" t="inlineStr">
        <is>
          <t>Grupo Murcia</t>
        </is>
      </c>
      <c r="B49" t="inlineStr">
        <is>
          <t>Murcia</t>
        </is>
      </c>
      <c r="C49" t="inlineStr">
        <is>
          <t>Murcia</t>
        </is>
      </c>
      <c r="D49" t="inlineStr">
        <is>
          <t>grupomurcia.com</t>
        </is>
      </c>
      <c r="H49" t="inlineStr">
        <is>
          <t>B</t>
        </is>
      </c>
      <c r="I49" t="inlineStr">
        <is>
          <t>frío</t>
        </is>
      </c>
      <c r="J49" t="inlineStr">
        <is>
          <t>medio</t>
        </is>
      </c>
      <c r="K49" t="inlineStr">
        <is>
          <t>Búsqueda web 2026-07-11</t>
        </is>
      </c>
      <c r="L49" t="inlineStr">
        <is>
          <t>Asesoría y gestoría empresarial, fiscal y contable</t>
        </is>
      </c>
      <c r="M49" t="inlineStr">
        <is>
          <t>pendiente_contacto</t>
        </is>
      </c>
      <c r="Y49" t="inlineStr">
        <is>
          <t>Verificar teléfono/email en su web antes de contactar</t>
        </is>
      </c>
      <c r="AC49">
        <f>IF(N49="","",TODAY()-N49)</f>
        <v/>
      </c>
      <c r="AD49">
        <f>IF(N49="","Contactar (día 0)",IF(OR(Q49="sí",M49="rechazado",M49="cliente_pago",M49="sin_respuesta"),"",IF(AND(P49&lt;=1,AC49&gt;=3),"Seguimiento 1 (mismo canal)",IF(AND(P49&lt;=2,AC49&gt;=7),"Seguimiento 2 (canal distinto)",IF(AND(P49&lt;=3,AC49&gt;=12),"Seguimiento 3 (último, ofrece cerrar la puerta)",IF(OR(P49&gt;=4,AC49&gt;=15),"Cerrar: marcar sin-respuesta",""))))))</f>
        <v/>
      </c>
    </row>
    <row r="50">
      <c r="A50" t="inlineStr">
        <is>
          <t>GAMO Abogados, Asesoría y Gestión</t>
        </is>
      </c>
      <c r="B50" t="inlineStr">
        <is>
          <t>Valladolid</t>
        </is>
      </c>
      <c r="C50" t="inlineStr">
        <is>
          <t>Valladolid</t>
        </is>
      </c>
      <c r="D50" t="inlineStr">
        <is>
          <t>abogadosgamo.com</t>
        </is>
      </c>
      <c r="E50" t="inlineStr">
        <is>
          <t>983379900</t>
        </is>
      </c>
      <c r="H50" t="inlineStr">
        <is>
          <t>B</t>
        </is>
      </c>
      <c r="I50" t="inlineStr">
        <is>
          <t>frío</t>
        </is>
      </c>
      <c r="J50" t="inlineStr">
        <is>
          <t>medio</t>
        </is>
      </c>
      <c r="K50" t="inlineStr">
        <is>
          <t>Búsqueda web 2026-07-11</t>
        </is>
      </c>
      <c r="L50" t="inlineStr">
        <is>
          <t>34 años de trayectoria — despacho mixto abogados/asesoría</t>
        </is>
      </c>
      <c r="M50" t="inlineStr">
        <is>
          <t>pendiente_contacto</t>
        </is>
      </c>
      <c r="Y50" t="inlineStr">
        <is>
          <t>Llamar al teléfono verificado</t>
        </is>
      </c>
      <c r="AC50">
        <f>IF(N50="","",TODAY()-N50)</f>
        <v/>
      </c>
      <c r="AD50">
        <f>IF(N50="","Contactar (día 0)",IF(OR(Q50="sí",M50="rechazado",M50="cliente_pago",M50="sin_respuesta"),"",IF(AND(P50&lt;=1,AC50&gt;=3),"Seguimiento 1 (mismo canal)",IF(AND(P50&lt;=2,AC50&gt;=7),"Seguimiento 2 (canal distinto)",IF(AND(P50&lt;=3,AC50&gt;=12),"Seguimiento 3 (último, ofrece cerrar la puerta)",IF(OR(P50&gt;=4,AC50&gt;=15),"Cerrar: marcar sin-respuesta",""))))))</f>
        <v/>
      </c>
    </row>
    <row r="51">
      <c r="A51" t="inlineStr">
        <is>
          <t>Gestoría Valladolid</t>
        </is>
      </c>
      <c r="B51" t="inlineStr">
        <is>
          <t>Valladolid</t>
        </is>
      </c>
      <c r="C51" t="inlineStr">
        <is>
          <t>Valladolid</t>
        </is>
      </c>
      <c r="D51" t="inlineStr">
        <is>
          <t>gestoriavalladolid.org</t>
        </is>
      </c>
      <c r="H51" t="inlineStr">
        <is>
          <t>A</t>
        </is>
      </c>
      <c r="I51" t="inlineStr">
        <is>
          <t>frío</t>
        </is>
      </c>
      <c r="J51" t="inlineStr">
        <is>
          <t>alto</t>
        </is>
      </c>
      <c r="K51" t="inlineStr">
        <is>
          <t>Búsqueda web 2026-07-11</t>
        </is>
      </c>
      <c r="L51" t="inlineStr">
        <is>
          <t>Atiende autónomos, pymes y sociedades</t>
        </is>
      </c>
      <c r="M51" t="inlineStr">
        <is>
          <t>pendiente_contacto</t>
        </is>
      </c>
      <c r="Y51" t="inlineStr">
        <is>
          <t>Verificar teléfono/email en su web antes de contactar</t>
        </is>
      </c>
      <c r="AC51">
        <f>IF(N51="","",TODAY()-N51)</f>
        <v/>
      </c>
      <c r="AD51">
        <f>IF(N51="","Contactar (día 0)",IF(OR(Q51="sí",M51="rechazado",M51="cliente_pago",M51="sin_respuesta"),"",IF(AND(P51&lt;=1,AC51&gt;=3),"Seguimiento 1 (mismo canal)",IF(AND(P51&lt;=2,AC51&gt;=7),"Seguimiento 2 (canal distinto)",IF(AND(P51&lt;=3,AC51&gt;=12),"Seguimiento 3 (último, ofrece cerrar la puerta)",IF(OR(P51&gt;=4,AC51&gt;=15),"Cerrar: marcar sin-respuesta",""))))))</f>
        <v/>
      </c>
    </row>
    <row r="52">
      <c r="A52" t="inlineStr">
        <is>
          <t>Gestoría Castilla y León</t>
        </is>
      </c>
      <c r="B52" t="inlineStr">
        <is>
          <t>Valladolid</t>
        </is>
      </c>
      <c r="C52" t="inlineStr">
        <is>
          <t>Valladolid</t>
        </is>
      </c>
      <c r="E52" t="inlineStr">
        <is>
          <t>983343097</t>
        </is>
      </c>
      <c r="G52" t="inlineStr">
        <is>
          <t>Calle Zúñiga, 13, 2º B, 47001 Valladolid</t>
        </is>
      </c>
      <c r="H52" t="inlineStr">
        <is>
          <t>B</t>
        </is>
      </c>
      <c r="I52" t="inlineStr">
        <is>
          <t>frío</t>
        </is>
      </c>
      <c r="J52" t="inlineStr">
        <is>
          <t>medio</t>
        </is>
      </c>
      <c r="K52" t="inlineStr">
        <is>
          <t>Búsqueda web 2026-07-11</t>
        </is>
      </c>
      <c r="M52" t="inlineStr">
        <is>
          <t>pendiente_contacto</t>
        </is>
      </c>
      <c r="Y52" t="inlineStr">
        <is>
          <t>Llamar al teléfono verificado</t>
        </is>
      </c>
      <c r="AC52">
        <f>IF(N52="","",TODAY()-N52)</f>
        <v/>
      </c>
      <c r="AD52">
        <f>IF(N52="","Contactar (día 0)",IF(OR(Q52="sí",M52="rechazado",M52="cliente_pago",M52="sin_respuesta"),"",IF(AND(P52&lt;=1,AC52&gt;=3),"Seguimiento 1 (mismo canal)",IF(AND(P52&lt;=2,AC52&gt;=7),"Seguimiento 2 (canal distinto)",IF(AND(P52&lt;=3,AC52&gt;=12),"Seguimiento 3 (último, ofrece cerrar la puerta)",IF(OR(P52&gt;=4,AC52&gt;=15),"Cerrar: marcar sin-respuesta",""))))))</f>
        <v/>
      </c>
    </row>
    <row r="53">
      <c r="A53" t="inlineStr">
        <is>
          <t>Gestoría Matogrande</t>
        </is>
      </c>
      <c r="B53" t="inlineStr">
        <is>
          <t>A Coruña</t>
        </is>
      </c>
      <c r="C53" t="inlineStr">
        <is>
          <t>A Coruña</t>
        </is>
      </c>
      <c r="E53" t="inlineStr">
        <is>
          <t>981100380</t>
        </is>
      </c>
      <c r="G53" t="inlineStr">
        <is>
          <t>R. Enrique Mariñas Romero, 6, BAJO, 15009 A Coruña</t>
        </is>
      </c>
      <c r="H53" t="inlineStr">
        <is>
          <t>B</t>
        </is>
      </c>
      <c r="I53" t="inlineStr">
        <is>
          <t>frío</t>
        </is>
      </c>
      <c r="J53" t="inlineStr">
        <is>
          <t>medio</t>
        </is>
      </c>
      <c r="K53" t="inlineStr">
        <is>
          <t>Búsqueda web 2026-07-11</t>
        </is>
      </c>
      <c r="M53" t="inlineStr">
        <is>
          <t>pendiente_contacto</t>
        </is>
      </c>
      <c r="Y53" t="inlineStr">
        <is>
          <t>Llamar al teléfono verificado</t>
        </is>
      </c>
      <c r="AC53">
        <f>IF(N53="","",TODAY()-N53)</f>
        <v/>
      </c>
      <c r="AD53">
        <f>IF(N53="","Contactar (día 0)",IF(OR(Q53="sí",M53="rechazado",M53="cliente_pago",M53="sin_respuesta"),"",IF(AND(P53&lt;=1,AC53&gt;=3),"Seguimiento 1 (mismo canal)",IF(AND(P53&lt;=2,AC53&gt;=7),"Seguimiento 2 (canal distinto)",IF(AND(P53&lt;=3,AC53&gt;=12),"Seguimiento 3 (último, ofrece cerrar la puerta)",IF(OR(P53&gt;=4,AC53&gt;=15),"Cerrar: marcar sin-respuesta",""))))))</f>
        <v/>
      </c>
    </row>
    <row r="54">
      <c r="A54" t="inlineStr">
        <is>
          <t>Gestoría Pousa y Rodríguez S.L.</t>
        </is>
      </c>
      <c r="B54" t="inlineStr">
        <is>
          <t>A Coruña</t>
        </is>
      </c>
      <c r="C54" t="inlineStr">
        <is>
          <t>A Coruña</t>
        </is>
      </c>
      <c r="E54" t="inlineStr">
        <is>
          <t>981247911</t>
        </is>
      </c>
      <c r="G54" t="inlineStr">
        <is>
          <t>Ronda de Outeiro, 222, 15007 A Coruña</t>
        </is>
      </c>
      <c r="H54" t="inlineStr">
        <is>
          <t>B</t>
        </is>
      </c>
      <c r="I54" t="inlineStr">
        <is>
          <t>frío</t>
        </is>
      </c>
      <c r="J54" t="inlineStr">
        <is>
          <t>medio</t>
        </is>
      </c>
      <c r="K54" t="inlineStr">
        <is>
          <t>Búsqueda web 2026-07-11</t>
        </is>
      </c>
      <c r="M54" t="inlineStr">
        <is>
          <t>pendiente_contacto</t>
        </is>
      </c>
      <c r="Y54" t="inlineStr">
        <is>
          <t>Llamar al teléfono verificado</t>
        </is>
      </c>
      <c r="AC54">
        <f>IF(N54="","",TODAY()-N54)</f>
        <v/>
      </c>
      <c r="AD54">
        <f>IF(N54="","Contactar (día 0)",IF(OR(Q54="sí",M54="rechazado",M54="cliente_pago",M54="sin_respuesta"),"",IF(AND(P54&lt;=1,AC54&gt;=3),"Seguimiento 1 (mismo canal)",IF(AND(P54&lt;=2,AC54&gt;=7),"Seguimiento 2 (canal distinto)",IF(AND(P54&lt;=3,AC54&gt;=12),"Seguimiento 3 (último, ofrece cerrar la puerta)",IF(OR(P54&gt;=4,AC54&gt;=15),"Cerrar: marcar sin-respuesta",""))))))</f>
        <v/>
      </c>
    </row>
    <row r="55">
      <c r="A55" t="inlineStr">
        <is>
          <t>Asesoría GesGlobal</t>
        </is>
      </c>
      <c r="B55" t="inlineStr">
        <is>
          <t>Vigo</t>
        </is>
      </c>
      <c r="C55" t="inlineStr">
        <is>
          <t>Pontevedra</t>
        </is>
      </c>
      <c r="D55" t="inlineStr">
        <is>
          <t>asesoriagesglobal.com</t>
        </is>
      </c>
      <c r="G55" t="inlineStr">
        <is>
          <t>García Barbón, centro de Vigo</t>
        </is>
      </c>
      <c r="H55" t="inlineStr">
        <is>
          <t>B</t>
        </is>
      </c>
      <c r="I55" t="inlineStr">
        <is>
          <t>frío</t>
        </is>
      </c>
      <c r="J55" t="inlineStr">
        <is>
          <t>medio</t>
        </is>
      </c>
      <c r="K55" t="inlineStr">
        <is>
          <t>Búsqueda web 2026-07-11</t>
        </is>
      </c>
      <c r="L55" t="inlineStr">
        <is>
          <t>Fiscal, laboral, contable, mercantil y legal</t>
        </is>
      </c>
      <c r="M55" t="inlineStr">
        <is>
          <t>pendiente_contacto</t>
        </is>
      </c>
      <c r="Y55" t="inlineStr">
        <is>
          <t>Verificar teléfono/email en su web antes de contactar</t>
        </is>
      </c>
      <c r="AC55">
        <f>IF(N55="","",TODAY()-N55)</f>
        <v/>
      </c>
      <c r="AD55">
        <f>IF(N55="","Contactar (día 0)",IF(OR(Q55="sí",M55="rechazado",M55="cliente_pago",M55="sin_respuesta"),"",IF(AND(P55&lt;=1,AC55&gt;=3),"Seguimiento 1 (mismo canal)",IF(AND(P55&lt;=2,AC55&gt;=7),"Seguimiento 2 (canal distinto)",IF(AND(P55&lt;=3,AC55&gt;=12),"Seguimiento 3 (último, ofrece cerrar la puerta)",IF(OR(P55&gt;=4,AC55&gt;=15),"Cerrar: marcar sin-respuesta",""))))))</f>
        <v/>
      </c>
    </row>
    <row r="56">
      <c r="A56" t="inlineStr">
        <is>
          <t>Habita Consulting</t>
        </is>
      </c>
      <c r="B56" t="inlineStr">
        <is>
          <t>Vigo</t>
        </is>
      </c>
      <c r="C56" t="inlineStr">
        <is>
          <t>Pontevedra</t>
        </is>
      </c>
      <c r="D56" t="inlineStr">
        <is>
          <t>habitaconsulting.com</t>
        </is>
      </c>
      <c r="H56" t="inlineStr">
        <is>
          <t>B</t>
        </is>
      </c>
      <c r="I56" t="inlineStr">
        <is>
          <t>frío</t>
        </is>
      </c>
      <c r="J56" t="inlineStr">
        <is>
          <t>medio</t>
        </is>
      </c>
      <c r="K56" t="inlineStr">
        <is>
          <t>Búsqueda web 2026-07-11</t>
        </is>
      </c>
      <c r="L56" t="inlineStr">
        <is>
          <t>Mercantil, fiscal, contable y laboral</t>
        </is>
      </c>
      <c r="M56" t="inlineStr">
        <is>
          <t>pendiente_contacto</t>
        </is>
      </c>
      <c r="Y56" t="inlineStr">
        <is>
          <t>Verificar teléfono/email en su web antes de contactar</t>
        </is>
      </c>
      <c r="AC56">
        <f>IF(N56="","",TODAY()-N56)</f>
        <v/>
      </c>
      <c r="AD56">
        <f>IF(N56="","Contactar (día 0)",IF(OR(Q56="sí",M56="rechazado",M56="cliente_pago",M56="sin_respuesta"),"",IF(AND(P56&lt;=1,AC56&gt;=3),"Seguimiento 1 (mismo canal)",IF(AND(P56&lt;=2,AC56&gt;=7),"Seguimiento 2 (canal distinto)",IF(AND(P56&lt;=3,AC56&gt;=12),"Seguimiento 3 (último, ofrece cerrar la puerta)",IF(OR(P56&gt;=4,AC56&gt;=15),"Cerrar: marcar sin-respuesta",""))))))</f>
        <v/>
      </c>
    </row>
  </sheetData>
  <dataValidations count="12">
    <dataValidation sqref="H2:H56" showDropDown="0" showInputMessage="0" showErrorMessage="0" allowBlank="1" type="list">
      <formula1>"A,B,C"</formula1>
    </dataValidation>
    <dataValidation sqref="I2:I56" showDropDown="0" showInputMessage="0" showErrorMessage="0" allowBlank="1" type="list">
      <formula1>"caliente,tibio,frío"</formula1>
    </dataValidation>
    <dataValidation sqref="J2:J56" showDropDown="0" showInputMessage="0" showErrorMessage="0" allowBlank="1" type="list">
      <formula1>"alto,medio,bajo"</formula1>
    </dataValidation>
    <dataValidation sqref="M2:M56" showDropDown="0" showInputMessage="0" showErrorMessage="0" allowBlank="1" type="list">
      <formula1>"pendiente_contacto,contactado,en_seguimiento,respondido,reunion_agendada,demo_realizada,piloto_en_curso,piloto_completado,cliente_pago,rechazado,sin_respuesta"</formula1>
    </dataValidation>
    <dataValidation sqref="O2:O56" showDropDown="0" showInputMessage="0" showErrorMessage="0" allowBlank="1" type="list">
      <formula1>"whatsapp,email,linkedin,llamada"</formula1>
    </dataValidation>
    <dataValidation sqref="Q2:Q56" showDropDown="0" showInputMessage="0" showErrorMessage="0" allowBlank="1" type="list">
      <formula1>"sí,no,pendiente"</formula1>
    </dataValidation>
    <dataValidation sqref="S2:S56" showDropDown="0" showInputMessage="0" showErrorMessage="0" allowBlank="1" type="list">
      <formula1>"sí,no"</formula1>
    </dataValidation>
    <dataValidation sqref="T2:T56" showDropDown="0" showInputMessage="0" showErrorMessage="0" allowBlank="1" type="list">
      <formula1>"sí,no"</formula1>
    </dataValidation>
    <dataValidation sqref="U2:U56" showDropDown="0" showInputMessage="0" showErrorMessage="0" allowBlank="1" type="list">
      <formula1>"sí,no,pendiente"</formula1>
    </dataValidation>
    <dataValidation sqref="V2:V56" showDropDown="0" showInputMessage="0" showErrorMessage="0" allowBlank="1" type="list">
      <formula1>"sí,no"</formula1>
    </dataValidation>
    <dataValidation sqref="AA2:AA56" showDropDown="0" showInputMessage="0" showErrorMessage="0" allowBlank="1" type="list">
      <formula1>"sí,no"</formula1>
    </dataValidation>
    <dataValidation sqref="W2:W56" showDropDown="0" showInputMessage="0" showErrorMessage="0" allowBlank="1" type="list">
      <formula1>"ya-resuelto,no-es-el-momento,precio,confianza,sin-dolor-real,bloqueante-funcional,sin-respuesta,otro"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Dashboard — GestorIA (embudo comercial)</t>
        </is>
      </c>
    </row>
    <row r="3">
      <c r="A3" s="3" t="inlineStr">
        <is>
          <t>Métrica</t>
        </is>
      </c>
      <c r="B3" s="3" t="inlineStr">
        <is>
          <t>Valor</t>
        </is>
      </c>
    </row>
    <row r="4">
      <c r="A4" s="4" t="inlineStr">
        <is>
          <t>Total prospectos en el CRM</t>
        </is>
      </c>
      <c r="B4" s="5">
        <f>COUNTA(CRM!A2:A56)</f>
        <v/>
      </c>
    </row>
    <row r="5">
      <c r="A5" s="4" t="inlineStr">
        <is>
          <t>Contactos realizados</t>
        </is>
      </c>
      <c r="B5" s="5">
        <f>COUNTA(CRM!N2:N56)</f>
        <v/>
      </c>
    </row>
    <row r="6">
      <c r="A6" s="4" t="inlineStr">
        <is>
          <t>Respuestas recibidas</t>
        </is>
      </c>
      <c r="B6" s="5">
        <f>COUNTIF(CRM!Q2:Q56,"sí")</f>
        <v/>
      </c>
    </row>
    <row r="7">
      <c r="A7" s="4" t="inlineStr">
        <is>
          <t>Reuniones / demos agendadas</t>
        </is>
      </c>
      <c r="B7" s="5">
        <f>COUNTIF(CRM!S2:S56,"sí")</f>
        <v/>
      </c>
    </row>
    <row r="8">
      <c r="A8" s="4" t="inlineStr">
        <is>
          <t>Demos realizadas</t>
        </is>
      </c>
      <c r="B8" s="5">
        <f>COUNTIF(CRM!T2:T56,"sí")</f>
        <v/>
      </c>
    </row>
    <row r="9">
      <c r="A9" s="4" t="inlineStr">
        <is>
          <t>Pilotos iniciados</t>
        </is>
      </c>
      <c r="B9" s="5">
        <f>COUNTIF(CRM!U2:U56,"sí")</f>
        <v/>
      </c>
    </row>
    <row r="10">
      <c r="A10" s="4" t="inlineStr">
        <is>
          <t>Clientes de pago</t>
        </is>
      </c>
      <c r="B10" s="5">
        <f>COUNTIF(CRM!AA2:AA56,"sí")</f>
        <v/>
      </c>
    </row>
    <row r="11">
      <c r="A11" s="4" t="inlineStr">
        <is>
          <t>MRR (€/mes)</t>
        </is>
      </c>
      <c r="B11" s="5">
        <f>SUMIF(CRM!AA2:AA56,"sí",CRM!AB2:AB56)</f>
        <v/>
      </c>
    </row>
    <row r="12">
      <c r="A12" s="4" t="inlineStr">
        <is>
          <t>Rechazos</t>
        </is>
      </c>
      <c r="B12" s="5">
        <f>COUNTIF(CRM!V2:V56,"sí")</f>
        <v/>
      </c>
    </row>
    <row r="14">
      <c r="A14" s="6" t="inlineStr">
        <is>
          <t>Tasas de conversión</t>
        </is>
      </c>
    </row>
    <row r="15">
      <c r="A15" t="inlineStr">
        <is>
          <t>Contacto → respuesta</t>
        </is>
      </c>
      <c r="B15" s="7">
        <f>IFERROR(B6/B5,0)</f>
        <v/>
      </c>
    </row>
    <row r="16">
      <c r="A16" t="inlineStr">
        <is>
          <t>Respuesta → demo</t>
        </is>
      </c>
      <c r="B16" s="7">
        <f>IFERROR(B8/B6,0)</f>
        <v/>
      </c>
    </row>
    <row r="17">
      <c r="A17" t="inlineStr">
        <is>
          <t>Demo → piloto</t>
        </is>
      </c>
      <c r="B17" s="7">
        <f>IFERROR(B9/B8,0)</f>
        <v/>
      </c>
    </row>
    <row r="18">
      <c r="A18" t="inlineStr">
        <is>
          <t>Piloto → cliente de pago</t>
        </is>
      </c>
      <c r="B18" s="7">
        <f>IFERROR(B10/B9,0)</f>
        <v/>
      </c>
    </row>
    <row r="20">
      <c r="A20" s="6" t="inlineStr">
        <is>
          <t>Reto de 30 días</t>
        </is>
      </c>
    </row>
    <row r="21">
      <c r="A21" s="3" t="inlineStr">
        <is>
          <t>Objetivo</t>
        </is>
      </c>
      <c r="B21" s="3" t="inlineStr">
        <is>
          <t>Meta</t>
        </is>
      </c>
      <c r="C21" s="3" t="inlineStr">
        <is>
          <t>Actual</t>
        </is>
      </c>
      <c r="D21" s="3" t="inlineStr">
        <is>
          <t>% cumplido</t>
        </is>
      </c>
    </row>
    <row r="22">
      <c r="A22" t="inlineStr">
        <is>
          <t>Conversaciones (respuestas)</t>
        </is>
      </c>
      <c r="B22" t="n">
        <v>20</v>
      </c>
      <c r="C22">
        <f>Dashboard!B6</f>
        <v/>
      </c>
      <c r="D22" s="7">
        <f>IFERROR(C22/B22,0)</f>
        <v/>
      </c>
    </row>
    <row r="23">
      <c r="A23" t="inlineStr">
        <is>
          <t>Demos realizadas</t>
        </is>
      </c>
      <c r="B23" t="n">
        <v>5</v>
      </c>
      <c r="C23">
        <f>Dashboard!B8</f>
        <v/>
      </c>
      <c r="D23" s="7">
        <f>IFERROR(C23/B23,0)</f>
        <v/>
      </c>
    </row>
    <row r="24">
      <c r="A24" t="inlineStr">
        <is>
          <t>Pilotos iniciados</t>
        </is>
      </c>
      <c r="B24" t="n">
        <v>3</v>
      </c>
      <c r="C24">
        <f>Dashboard!B9</f>
        <v/>
      </c>
      <c r="D24" s="7">
        <f>IFERROR(C24/B24,0)</f>
        <v/>
      </c>
    </row>
    <row r="25">
      <c r="A25" t="inlineStr">
        <is>
          <t>Clientes de pago</t>
        </is>
      </c>
      <c r="B25" t="n">
        <v>1</v>
      </c>
      <c r="C25">
        <f>Dashboard!B10</f>
        <v/>
      </c>
      <c r="D25" s="7">
        <f>IFERROR(C25/B25,0)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2026-07-11T12:38:26Z</dcterms:created>
  <dcterms:modified xsi:type="dcterms:W3CDTF">2026-07-11T12:38:26Z</dcterms:modified>
</cp:coreProperties>
</file>